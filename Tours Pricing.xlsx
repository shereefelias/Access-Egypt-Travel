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110fad33ab051d/Desktop/"/>
    </mc:Choice>
  </mc:AlternateContent>
  <xr:revisionPtr revIDLastSave="609" documentId="8_{19101341-AF64-44E6-BB1A-2A72F363AAA0}" xr6:coauthVersionLast="47" xr6:coauthVersionMax="47" xr10:uidLastSave="{69C5D727-91B5-4764-8156-202CFAA4C4C3}"/>
  <bookViews>
    <workbookView xWindow="-28920" yWindow="-120" windowWidth="29040" windowHeight="15720" activeTab="1" xr2:uid="{D6690C45-43CB-4F37-B146-68824BB826DE}"/>
  </bookViews>
  <sheets>
    <sheet name="Cairo + Cruise &gt;&gt;&gt;" sheetId="7" r:id="rId1"/>
    <sheet name="11days,10 nights- Cairo &amp; Cuise" sheetId="10" r:id="rId2"/>
    <sheet name="8 days, 7 nights- Cairo &amp; Cruis" sheetId="9" r:id="rId3"/>
    <sheet name="7 days, 6 nights- Cairo &amp; Cruis" sheetId="8" r:id="rId4"/>
    <sheet name="By Land &gt;&gt;&gt;&gt;&gt;&gt;" sheetId="6" r:id="rId5"/>
    <sheet name="7 days, 6 nights- Land Per DBL" sheetId="4" r:id="rId6"/>
    <sheet name="6 days, 5 nights - Land Per DBL" sheetId="5" r:id="rId7"/>
    <sheet name="7 days, 6 nights By Land" sheetId="2" state="hidden" r:id="rId8"/>
    <sheet name="6 days, 5 nights By Land" sheetId="1" state="hidden" r:id="rId9"/>
    <sheet name="Fixed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0" l="1"/>
  <c r="D21" i="10"/>
  <c r="D20" i="10"/>
  <c r="C20" i="10"/>
  <c r="D19" i="10"/>
  <c r="C19" i="10"/>
  <c r="D18" i="10"/>
  <c r="D17" i="10"/>
  <c r="D16" i="10" s="1"/>
  <c r="C17" i="10"/>
  <c r="C16" i="10" s="1"/>
  <c r="B17" i="10"/>
  <c r="B16" i="10"/>
  <c r="B14" i="10"/>
  <c r="D14" i="10" s="1"/>
  <c r="D13" i="10"/>
  <c r="B13" i="10"/>
  <c r="C13" i="10" s="1"/>
  <c r="C12" i="10"/>
  <c r="D12" i="10" s="1"/>
  <c r="B12" i="10"/>
  <c r="B11" i="10"/>
  <c r="D11" i="10" s="1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D3" i="10" s="1"/>
  <c r="D26" i="10" s="1"/>
  <c r="D27" i="10" s="1"/>
  <c r="C5" i="10"/>
  <c r="D4" i="10"/>
  <c r="C4" i="10"/>
  <c r="B4" i="10"/>
  <c r="C20" i="9"/>
  <c r="C17" i="9"/>
  <c r="C19" i="9"/>
  <c r="D22" i="9"/>
  <c r="D21" i="9"/>
  <c r="D20" i="9"/>
  <c r="D19" i="9"/>
  <c r="D18" i="9"/>
  <c r="D17" i="9"/>
  <c r="D16" i="9" s="1"/>
  <c r="C16" i="9"/>
  <c r="B17" i="9"/>
  <c r="B16" i="9"/>
  <c r="B14" i="9"/>
  <c r="C14" i="9" s="1"/>
  <c r="D13" i="9"/>
  <c r="B13" i="9"/>
  <c r="C13" i="9" s="1"/>
  <c r="C12" i="9"/>
  <c r="D12" i="9" s="1"/>
  <c r="B12" i="9"/>
  <c r="B11" i="9"/>
  <c r="D11" i="9" s="1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D4" i="9"/>
  <c r="C4" i="9"/>
  <c r="B4" i="9"/>
  <c r="C26" i="8"/>
  <c r="D22" i="8"/>
  <c r="C20" i="8"/>
  <c r="C19" i="8"/>
  <c r="C17" i="8"/>
  <c r="B4" i="8"/>
  <c r="B6" i="8"/>
  <c r="B7" i="8"/>
  <c r="B8" i="8"/>
  <c r="B9" i="8"/>
  <c r="B10" i="8"/>
  <c r="B11" i="8"/>
  <c r="B12" i="8"/>
  <c r="B13" i="8"/>
  <c r="D13" i="8" s="1"/>
  <c r="B14" i="8"/>
  <c r="D14" i="8" s="1"/>
  <c r="B17" i="8"/>
  <c r="B16" i="8" s="1"/>
  <c r="C32" i="5"/>
  <c r="C35" i="5"/>
  <c r="D21" i="8"/>
  <c r="D20" i="8"/>
  <c r="D19" i="8"/>
  <c r="D18" i="8"/>
  <c r="D17" i="8"/>
  <c r="C12" i="8"/>
  <c r="D12" i="8" s="1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C43" i="4"/>
  <c r="C42" i="4"/>
  <c r="C23" i="5"/>
  <c r="C21" i="5"/>
  <c r="C20" i="5"/>
  <c r="B20" i="5"/>
  <c r="C19" i="5"/>
  <c r="B19" i="5"/>
  <c r="B18" i="5"/>
  <c r="B14" i="5"/>
  <c r="C14" i="5" s="1"/>
  <c r="B13" i="5"/>
  <c r="C12" i="5"/>
  <c r="B12" i="5"/>
  <c r="B11" i="5"/>
  <c r="C10" i="5"/>
  <c r="B10" i="5"/>
  <c r="C9" i="5"/>
  <c r="B9" i="5"/>
  <c r="C8" i="5"/>
  <c r="B8" i="5"/>
  <c r="C7" i="5"/>
  <c r="B7" i="5"/>
  <c r="C6" i="5"/>
  <c r="B6" i="5"/>
  <c r="C5" i="5"/>
  <c r="C4" i="5"/>
  <c r="B4" i="5"/>
  <c r="D31" i="4"/>
  <c r="D30" i="4"/>
  <c r="D29" i="4"/>
  <c r="D25" i="4" s="1"/>
  <c r="C29" i="4"/>
  <c r="D28" i="4"/>
  <c r="D27" i="4"/>
  <c r="D26" i="4"/>
  <c r="C26" i="4"/>
  <c r="B26" i="4"/>
  <c r="B25" i="4" s="1"/>
  <c r="D23" i="4"/>
  <c r="C23" i="4"/>
  <c r="D22" i="4"/>
  <c r="D21" i="4"/>
  <c r="C21" i="4"/>
  <c r="C20" i="4"/>
  <c r="B20" i="4"/>
  <c r="D20" i="4" s="1"/>
  <c r="D19" i="4"/>
  <c r="C19" i="4"/>
  <c r="B19" i="4"/>
  <c r="B18" i="4"/>
  <c r="D17" i="4"/>
  <c r="B14" i="4"/>
  <c r="C14" i="4" s="1"/>
  <c r="B13" i="4"/>
  <c r="C13" i="4" s="1"/>
  <c r="C12" i="4"/>
  <c r="D12" i="4" s="1"/>
  <c r="B12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D7" i="4"/>
  <c r="C7" i="4"/>
  <c r="B7" i="4"/>
  <c r="D6" i="4"/>
  <c r="C6" i="4"/>
  <c r="B6" i="4"/>
  <c r="E5" i="4"/>
  <c r="D5" i="4"/>
  <c r="C5" i="4"/>
  <c r="E4" i="4"/>
  <c r="D4" i="4"/>
  <c r="C4" i="4"/>
  <c r="B4" i="4"/>
  <c r="K48" i="2"/>
  <c r="K47" i="2"/>
  <c r="K49" i="2"/>
  <c r="J43" i="2"/>
  <c r="F4" i="2"/>
  <c r="F3" i="2" s="1"/>
  <c r="F35" i="2" s="1"/>
  <c r="F36" i="2" s="1"/>
  <c r="F5" i="2"/>
  <c r="F8" i="2"/>
  <c r="F9" i="2"/>
  <c r="F10" i="2"/>
  <c r="F11" i="2"/>
  <c r="F16" i="2"/>
  <c r="F25" i="2"/>
  <c r="M45" i="2"/>
  <c r="M44" i="2"/>
  <c r="M43" i="2"/>
  <c r="M42" i="2"/>
  <c r="L45" i="2"/>
  <c r="L44" i="2"/>
  <c r="K44" i="2"/>
  <c r="L43" i="2"/>
  <c r="L42" i="2"/>
  <c r="K45" i="2"/>
  <c r="K43" i="2"/>
  <c r="K42" i="2"/>
  <c r="F45" i="2"/>
  <c r="E45" i="2"/>
  <c r="F44" i="2"/>
  <c r="E44" i="2"/>
  <c r="G19" i="2"/>
  <c r="G14" i="2"/>
  <c r="G7" i="2"/>
  <c r="G31" i="2"/>
  <c r="G30" i="2"/>
  <c r="G29" i="2"/>
  <c r="G26" i="2"/>
  <c r="G17" i="2"/>
  <c r="G28" i="2"/>
  <c r="G27" i="2"/>
  <c r="G23" i="2"/>
  <c r="G22" i="2"/>
  <c r="G21" i="2"/>
  <c r="G18" i="2"/>
  <c r="G16" i="2" s="1"/>
  <c r="G13" i="2"/>
  <c r="G6" i="2"/>
  <c r="E27" i="1"/>
  <c r="E26" i="1"/>
  <c r="D26" i="1"/>
  <c r="D27" i="1"/>
  <c r="E29" i="2"/>
  <c r="E25" i="2" s="1"/>
  <c r="E26" i="2"/>
  <c r="D26" i="2"/>
  <c r="D25" i="2" s="1"/>
  <c r="D7" i="2"/>
  <c r="E23" i="2"/>
  <c r="E21" i="2"/>
  <c r="E20" i="2"/>
  <c r="D20" i="2"/>
  <c r="G20" i="2" s="1"/>
  <c r="E19" i="2"/>
  <c r="D19" i="2"/>
  <c r="D18" i="2"/>
  <c r="E18" i="2" s="1"/>
  <c r="D14" i="2"/>
  <c r="E14" i="2" s="1"/>
  <c r="D13" i="2"/>
  <c r="E13" i="2" s="1"/>
  <c r="E12" i="2"/>
  <c r="G12" i="2" s="1"/>
  <c r="D12" i="2"/>
  <c r="D11" i="2"/>
  <c r="H10" i="2"/>
  <c r="G10" i="2"/>
  <c r="E10" i="2"/>
  <c r="D10" i="2"/>
  <c r="H9" i="2"/>
  <c r="G9" i="2"/>
  <c r="E9" i="2"/>
  <c r="D9" i="2"/>
  <c r="H8" i="2"/>
  <c r="G8" i="2"/>
  <c r="E8" i="2"/>
  <c r="D8" i="2"/>
  <c r="E7" i="2"/>
  <c r="E6" i="2"/>
  <c r="D6" i="2"/>
  <c r="H5" i="2"/>
  <c r="G5" i="2"/>
  <c r="E5" i="2"/>
  <c r="H4" i="2"/>
  <c r="G4" i="2"/>
  <c r="E4" i="2"/>
  <c r="D4" i="2"/>
  <c r="E16" i="1"/>
  <c r="E23" i="1"/>
  <c r="E21" i="1"/>
  <c r="E20" i="1"/>
  <c r="E19" i="1"/>
  <c r="E18" i="1"/>
  <c r="E3" i="1"/>
  <c r="E14" i="1"/>
  <c r="E13" i="1"/>
  <c r="E12" i="1"/>
  <c r="E8" i="1"/>
  <c r="E7" i="1"/>
  <c r="D20" i="1"/>
  <c r="D8" i="1"/>
  <c r="D7" i="1"/>
  <c r="D19" i="1"/>
  <c r="D18" i="1"/>
  <c r="D16" i="1" s="1"/>
  <c r="D14" i="1"/>
  <c r="D13" i="1"/>
  <c r="D12" i="1"/>
  <c r="D11" i="1"/>
  <c r="E11" i="1" s="1"/>
  <c r="H10" i="1"/>
  <c r="G10" i="1"/>
  <c r="F10" i="1"/>
  <c r="E10" i="1"/>
  <c r="D10" i="1"/>
  <c r="H9" i="1"/>
  <c r="G9" i="1"/>
  <c r="F9" i="1"/>
  <c r="E9" i="1"/>
  <c r="D9" i="1"/>
  <c r="H8" i="1"/>
  <c r="G8" i="1"/>
  <c r="F8" i="1"/>
  <c r="H5" i="1"/>
  <c r="G5" i="1"/>
  <c r="F5" i="1"/>
  <c r="H4" i="1"/>
  <c r="G4" i="1"/>
  <c r="F4" i="1"/>
  <c r="E6" i="1"/>
  <c r="D6" i="1"/>
  <c r="E5" i="1"/>
  <c r="E4" i="1"/>
  <c r="D4" i="1"/>
  <c r="C3" i="10" l="1"/>
  <c r="C26" i="10" s="1"/>
  <c r="C27" i="10" s="1"/>
  <c r="D29" i="10"/>
  <c r="D28" i="10"/>
  <c r="B3" i="10"/>
  <c r="B26" i="10" s="1"/>
  <c r="B27" i="10" s="1"/>
  <c r="C11" i="10"/>
  <c r="C14" i="10"/>
  <c r="D3" i="9"/>
  <c r="D26" i="9" s="1"/>
  <c r="D27" i="9" s="1"/>
  <c r="D14" i="9"/>
  <c r="B3" i="9"/>
  <c r="B26" i="9" s="1"/>
  <c r="B27" i="9" s="1"/>
  <c r="C11" i="9"/>
  <c r="C3" i="9" s="1"/>
  <c r="C26" i="9" s="1"/>
  <c r="C27" i="9" s="1"/>
  <c r="B3" i="8"/>
  <c r="B26" i="8"/>
  <c r="B27" i="8" s="1"/>
  <c r="C14" i="8"/>
  <c r="C16" i="8"/>
  <c r="D16" i="8"/>
  <c r="C33" i="5"/>
  <c r="C34" i="5"/>
  <c r="C11" i="8"/>
  <c r="C13" i="8"/>
  <c r="D11" i="8"/>
  <c r="D3" i="8" s="1"/>
  <c r="C25" i="4"/>
  <c r="D13" i="4"/>
  <c r="D11" i="4"/>
  <c r="B3" i="4"/>
  <c r="H11" i="4"/>
  <c r="E11" i="4"/>
  <c r="B16" i="4"/>
  <c r="C11" i="5"/>
  <c r="C13" i="5"/>
  <c r="B3" i="5"/>
  <c r="C3" i="5"/>
  <c r="B16" i="5"/>
  <c r="C18" i="5"/>
  <c r="C16" i="5" s="1"/>
  <c r="D14" i="4"/>
  <c r="D18" i="4"/>
  <c r="D16" i="4" s="1"/>
  <c r="C18" i="4"/>
  <c r="C16" i="4" s="1"/>
  <c r="C11" i="4"/>
  <c r="C3" i="4" s="1"/>
  <c r="G3" i="2"/>
  <c r="E16" i="2"/>
  <c r="G11" i="2"/>
  <c r="G25" i="2"/>
  <c r="F38" i="2"/>
  <c r="F37" i="2"/>
  <c r="D29" i="1"/>
  <c r="D28" i="1"/>
  <c r="D32" i="1"/>
  <c r="E29" i="1"/>
  <c r="E28" i="1"/>
  <c r="F27" i="1"/>
  <c r="D33" i="1" s="1"/>
  <c r="F26" i="1"/>
  <c r="H11" i="2"/>
  <c r="K11" i="2"/>
  <c r="D16" i="2"/>
  <c r="D3" i="2"/>
  <c r="D35" i="2" s="1"/>
  <c r="E11" i="2"/>
  <c r="E3" i="2" s="1"/>
  <c r="E35" i="2" s="1"/>
  <c r="G11" i="1"/>
  <c r="H11" i="1"/>
  <c r="F11" i="1"/>
  <c r="D3" i="1"/>
  <c r="K11" i="1"/>
  <c r="C29" i="10" l="1"/>
  <c r="C28" i="10"/>
  <c r="C31" i="10"/>
  <c r="B28" i="10"/>
  <c r="B29" i="10"/>
  <c r="C28" i="9"/>
  <c r="C31" i="9"/>
  <c r="C29" i="9"/>
  <c r="D28" i="9"/>
  <c r="D29" i="9"/>
  <c r="B28" i="9"/>
  <c r="B29" i="9"/>
  <c r="B29" i="8"/>
  <c r="B28" i="8"/>
  <c r="D26" i="8"/>
  <c r="D27" i="8" s="1"/>
  <c r="D28" i="8" s="1"/>
  <c r="D29" i="8"/>
  <c r="C3" i="8"/>
  <c r="C27" i="8" s="1"/>
  <c r="D3" i="4"/>
  <c r="D35" i="4" s="1"/>
  <c r="C35" i="4"/>
  <c r="B35" i="4"/>
  <c r="B36" i="4" s="1"/>
  <c r="B37" i="4" s="1"/>
  <c r="C27" i="5"/>
  <c r="B27" i="5"/>
  <c r="C28" i="5"/>
  <c r="B28" i="5"/>
  <c r="C36" i="4"/>
  <c r="C40" i="4" s="1"/>
  <c r="D36" i="4"/>
  <c r="G35" i="2"/>
  <c r="F43" i="2"/>
  <c r="F42" i="2"/>
  <c r="D36" i="2"/>
  <c r="E42" i="2" s="1"/>
  <c r="D34" i="1"/>
  <c r="D35" i="1" s="1"/>
  <c r="C33" i="10" l="1"/>
  <c r="C32" i="10"/>
  <c r="C34" i="10"/>
  <c r="C33" i="9"/>
  <c r="C32" i="9"/>
  <c r="C34" i="9"/>
  <c r="C28" i="8"/>
  <c r="C29" i="8"/>
  <c r="C31" i="8"/>
  <c r="C41" i="4"/>
  <c r="B38" i="4"/>
  <c r="B30" i="5"/>
  <c r="B29" i="5"/>
  <c r="C29" i="5"/>
  <c r="C30" i="5"/>
  <c r="C37" i="4"/>
  <c r="C38" i="4"/>
  <c r="D37" i="4"/>
  <c r="D38" i="4"/>
  <c r="D38" i="2"/>
  <c r="D37" i="2"/>
  <c r="G36" i="2"/>
  <c r="G42" i="2"/>
  <c r="E36" i="2"/>
  <c r="E37" i="2"/>
  <c r="C34" i="8" l="1"/>
  <c r="C33" i="8"/>
  <c r="C32" i="8"/>
  <c r="G38" i="2"/>
  <c r="G37" i="2"/>
  <c r="E43" i="2"/>
  <c r="E38" i="2"/>
  <c r="G43" i="2" l="1"/>
  <c r="G44" i="2"/>
  <c r="G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tc={75726A2F-D8B5-494A-9F8D-EC70578E3A0B}</author>
    <author>tc={1851DC89-E59D-4D43-9981-4B8FE471F3C9}</author>
    <author>tc={BA4E5836-F2CA-4A8D-8A2D-BE0EDA8350DC}</author>
    <author>tc={42697B6C-CF4D-4ECD-B777-4C57A9090FC4}</author>
  </authors>
  <commentList>
    <comment ref="B1" authorId="0" shapeId="0" xr:uid="{75726A2F-D8B5-494A-9F8D-EC70578E3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C1" authorId="1" shapeId="0" xr:uid="{1851DC89-E59D-4D43-9981-4B8FE471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D1" authorId="2" shapeId="0" xr:uid="{BA4E5836-F2CA-4A8D-8A2D-BE0EDA8350DC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A4" authorId="3" shapeId="0" xr:uid="{42697B6C-CF4D-4ECD-B777-4C57A9090F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tc={3218249B-3412-4F0D-A522-2AAF57D57736}</author>
    <author>tc={C97D6B5D-168D-480A-8EC0-9FD4A2E66B7F}</author>
    <author>tc={C257DB22-9017-47C6-BF8F-D65B221955D4}</author>
    <author>tc={95539DB3-2E58-4857-9BE4-831F525C0B04}</author>
  </authors>
  <commentList>
    <comment ref="B1" authorId="0" shapeId="0" xr:uid="{3218249B-3412-4F0D-A522-2AAF57D57736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C1" authorId="1" shapeId="0" xr:uid="{C97D6B5D-168D-480A-8EC0-9FD4A2E66B7F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D1" authorId="2" shapeId="0" xr:uid="{C257DB22-9017-47C6-BF8F-D65B221955D4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A4" authorId="3" shapeId="0" xr:uid="{95539DB3-2E58-4857-9BE4-831F525C0B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tc={BCF84587-81B5-4266-BC75-ECC4D83A1D8F}</author>
    <author>tc={FD15BB52-021C-47E7-9A18-D6746BA9BB8F}</author>
    <author>tc={70B7ABB4-A8F2-40CB-B9E0-9B1DB4F6A13A}</author>
    <author>tc={E6E2728B-C737-4F3B-AA6C-E6799C6D2681}</author>
  </authors>
  <commentList>
    <comment ref="B1" authorId="0" shapeId="0" xr:uid="{BCF84587-81B5-4266-BC75-ECC4D83A1D8F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C1" authorId="1" shapeId="0" xr:uid="{FD15BB52-021C-47E7-9A18-D6746BA9BB8F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D1" authorId="2" shapeId="0" xr:uid="{70B7ABB4-A8F2-40CB-B9E0-9B1DB4F6A13A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A4" authorId="3" shapeId="0" xr:uid="{E6E2728B-C737-4F3B-AA6C-E6799C6D26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tc={36D88611-6383-4435-ADFA-166D3EF96742}</author>
    <author>tc={440348F6-2FF0-4C92-A996-C07C22F25169}</author>
    <author>tc={9B186259-199D-4CD1-843D-A80D4B62796A}</author>
    <author>tc={8B395246-7EE8-4030-BA51-E898FF91C635}</author>
    <author>tc={8077C03A-D5C9-4954-A9A0-0C257F6E8939}</author>
  </authors>
  <commentList>
    <comment ref="B1" authorId="0" shapeId="0" xr:uid="{36D88611-6383-4435-ADFA-166D3EF96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C1" authorId="1" shapeId="0" xr:uid="{440348F6-2FF0-4C92-A996-C07C22F25169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D1" authorId="2" shapeId="0" xr:uid="{9B186259-199D-4CD1-843D-A80D4B6279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E1" authorId="3" shapeId="0" xr:uid="{8B395246-7EE8-4030-BA51-E898FF91C6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Bus </t>
      </text>
    </comment>
    <comment ref="A4" authorId="4" shapeId="0" xr:uid="{8077C03A-D5C9-4954-A9A0-0C257F6E89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tc={B4D6D985-2A3E-4614-8AB5-8330B862E3AE}</author>
    <author>tc={980A0C9F-D228-4C49-B463-64DB72B34529}</author>
    <author>tc={1EDD0C46-6CC7-4ADA-BCCE-087046FE5BFC}</author>
  </authors>
  <commentList>
    <comment ref="B1" authorId="0" shapeId="0" xr:uid="{B4D6D985-2A3E-4614-8AB5-8330B862E3AE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C1" authorId="1" shapeId="0" xr:uid="{980A0C9F-D228-4C49-B463-64DB72B34529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A4" authorId="2" shapeId="0" xr:uid="{1EDD0C46-6CC7-4ADA-BCCE-087046FE5B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tc={E6F85E0C-857A-4BDA-B2D2-536C0CCCE6F4}</author>
    <author>tc={2893FC99-9E82-498D-9CD5-F0F5B00ED610}</author>
    <author>tc={326749D1-1235-4F3A-806B-0A2DA3FEEE9D}</author>
    <author>tc={5A8E07ED-ED3F-4473-A64D-87F443F381FE}</author>
    <author>tc={70305152-36C1-49DD-87F9-B93B56750969}</author>
    <author>tc={53D1B89A-F369-4A97-B086-0A7001C416FE}</author>
  </authors>
  <commentList>
    <comment ref="D1" authorId="0" shapeId="0" xr:uid="{E6F85E0C-857A-4BDA-B2D2-536C0CCCE6F4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E1" authorId="1" shapeId="0" xr:uid="{2893FC99-9E82-498D-9CD5-F0F5B00ED610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F1" authorId="2" shapeId="0" xr:uid="{326749D1-1235-4F3A-806B-0A2DA3FEEE9D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Hiace</t>
      </text>
    </comment>
    <comment ref="G1" authorId="3" shapeId="0" xr:uid="{5A8E07ED-ED3F-4473-A64D-87F443F381FE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H1" authorId="4" shapeId="0" xr:uid="{70305152-36C1-49DD-87F9-B93B567509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Bus </t>
      </text>
    </comment>
    <comment ref="A4" authorId="5" shapeId="0" xr:uid="{53D1B89A-F369-4A97-B086-0A7001C416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tc={4F141CFE-7FD5-4A9B-8669-35D21CA8E20B}</author>
    <author>tc={3D5478BD-2D16-4809-833F-7A5B4B851026}</author>
    <author>tc={D2B54733-6FF7-4C03-8A0A-95496DFF209F}</author>
    <author>tc={6B93B94F-BF26-44D3-9E02-2ACD8A7ACC37}</author>
    <author>tc={87251121-3122-4490-B361-5903849354B0}</author>
    <author>tc={A32F4A05-0662-4D74-9E29-B3046B3DBBFB}</author>
    <author>tc={F1F05E14-B7A5-4502-A7E2-B0A78F6329C9}</author>
  </authors>
  <commentList>
    <comment ref="D1" authorId="0" shapeId="0" xr:uid="{4F141CFE-7FD5-4A9B-8669-35D21CA8E20B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E1" authorId="1" shapeId="0" xr:uid="{3D5478BD-2D16-4809-833F-7A5B4B851026}">
      <text>
        <t>[Threaded comment]
Your version of Excel allows you to read this threaded comment; however, any edits to it will get removed if the file is opened in a newer version of Excel. Learn more: https://go.microsoft.com/fwlink/?linkid=870924
Comment:
    SUV</t>
      </text>
    </comment>
    <comment ref="F1" authorId="2" shapeId="0" xr:uid="{D2B54733-6FF7-4C03-8A0A-95496DFF209F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Hiace</t>
      </text>
    </comment>
    <comment ref="G1" authorId="3" shapeId="0" xr:uid="{6B93B94F-BF26-44D3-9E02-2ACD8A7ACC37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Coster</t>
      </text>
    </comment>
    <comment ref="H1" authorId="4" shapeId="0" xr:uid="{87251121-3122-4490-B361-5903849354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Bus </t>
      </text>
    </comment>
    <comment ref="J1" authorId="5" shapeId="0" xr:uid="{A32F4A05-0662-4D74-9E29-B3046B3DBBFB}">
      <text>
        <t>[Threaded comment]
Your version of Excel allows you to read this threaded comment; however, any edits to it will get removed if the file is opened in a newer version of Excel. Learn more: https://go.microsoft.com/fwlink/?linkid=870924
Comment:
    Toyota Hiace</t>
      </text>
    </comment>
    <comment ref="A4" authorId="6" shapeId="0" xr:uid="{F1F05E14-B7A5-4502-A7E2-B0A78F6329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Luggage </t>
      </text>
    </comment>
  </commentList>
</comments>
</file>

<file path=xl/sharedStrings.xml><?xml version="1.0" encoding="utf-8"?>
<sst xmlns="http://schemas.openxmlformats.org/spreadsheetml/2006/main" count="253" uniqueCount="48">
  <si>
    <t xml:space="preserve">Items </t>
  </si>
  <si>
    <t>Cost</t>
  </si>
  <si>
    <t>Single</t>
  </si>
  <si>
    <t xml:space="preserve">Double </t>
  </si>
  <si>
    <t>Group 3-7</t>
  </si>
  <si>
    <t>Group 8 - 15</t>
  </si>
  <si>
    <t>Group 16 &amp; up</t>
  </si>
  <si>
    <t>Airport representative</t>
  </si>
  <si>
    <t>Visa</t>
  </si>
  <si>
    <t>Hotel</t>
  </si>
  <si>
    <t>Snacks and drinks</t>
  </si>
  <si>
    <t># Days</t>
  </si>
  <si>
    <t xml:space="preserve">Tour Guide transportation Per package </t>
  </si>
  <si>
    <t xml:space="preserve">Tour Guide Accommodation Per package </t>
  </si>
  <si>
    <t>Domestic flights (round trip).</t>
  </si>
  <si>
    <t>Luxor</t>
  </si>
  <si>
    <t xml:space="preserve">Luxor transportation </t>
  </si>
  <si>
    <t>Tickets</t>
  </si>
  <si>
    <t xml:space="preserve">Tour Guide wage </t>
  </si>
  <si>
    <t xml:space="preserve">Hotel </t>
  </si>
  <si>
    <t>Lunch</t>
  </si>
  <si>
    <t xml:space="preserve">Total expense </t>
  </si>
  <si>
    <t>Profit margin</t>
  </si>
  <si>
    <t>Total Price</t>
  </si>
  <si>
    <t>Cairo Transportation (airport &amp; tours).</t>
  </si>
  <si>
    <t>Cairo (3 night)</t>
  </si>
  <si>
    <t>Tickets (5 sites).</t>
  </si>
  <si>
    <t>Group 4</t>
  </si>
  <si>
    <t>NI</t>
  </si>
  <si>
    <t>Luxor (2 night)</t>
  </si>
  <si>
    <t>Aswan (1 night)</t>
  </si>
  <si>
    <t xml:space="preserve">Aswan transportation </t>
  </si>
  <si>
    <t xml:space="preserve">Permits Per Tour </t>
  </si>
  <si>
    <t>Tour Price</t>
  </si>
  <si>
    <t>Exp</t>
  </si>
  <si>
    <t xml:space="preserve">Single Double </t>
  </si>
  <si>
    <t>Per Person</t>
  </si>
  <si>
    <t>Three to Seven</t>
  </si>
  <si>
    <t>Exp All</t>
  </si>
  <si>
    <t>Total</t>
  </si>
  <si>
    <t>Base Price</t>
  </si>
  <si>
    <t>16 and Up Price @ 25% Discount</t>
  </si>
  <si>
    <t>4 to 7  Price @ 10% Discount</t>
  </si>
  <si>
    <t>8 to 15 Price @ 20% Discount</t>
  </si>
  <si>
    <t>3 Nights Nile Cruise (Aswan &amp; Luxor)</t>
  </si>
  <si>
    <t xml:space="preserve">Aswan Luxor and Other transportation </t>
  </si>
  <si>
    <t>Cruise</t>
  </si>
  <si>
    <t>4 Nights Nile Cruise (Aswan &amp; Luxor)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</si>
</sst>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quotePrefix="1" applyFont="1"/>
    <xf numFmtId="0" fontId="4" fillId="0" borderId="0" xfId="0" applyFont="1"/>
    <xf numFmtId="0" fontId="3" fillId="2" borderId="0" xfId="3"/>
    <xf numFmtId="0" fontId="3" fillId="2" borderId="0" xfId="3" quotePrefix="1"/>
    <xf numFmtId="0" fontId="2" fillId="0" borderId="1" xfId="0" applyFont="1" applyBorder="1"/>
    <xf numFmtId="0" fontId="2" fillId="0" borderId="2" xfId="0" applyFont="1" applyBorder="1"/>
    <xf numFmtId="43" fontId="3" fillId="2" borderId="0" xfId="1" quotePrefix="1" applyFont="1" applyFill="1" applyAlignment="1">
      <alignment wrapText="1"/>
    </xf>
    <xf numFmtId="43" fontId="3" fillId="2" borderId="0" xfId="1" applyFont="1" applyFill="1" applyAlignment="1">
      <alignment wrapText="1"/>
    </xf>
    <xf numFmtId="43" fontId="2" fillId="0" borderId="0" xfId="1" quotePrefix="1" applyFont="1"/>
    <xf numFmtId="43" fontId="2" fillId="0" borderId="0" xfId="1" applyFont="1"/>
    <xf numFmtId="43" fontId="0" fillId="0" borderId="0" xfId="1" applyFont="1"/>
    <xf numFmtId="9" fontId="2" fillId="0" borderId="0" xfId="2" applyFont="1" applyBorder="1"/>
    <xf numFmtId="43" fontId="2" fillId="0" borderId="2" xfId="1" applyFont="1" applyBorder="1"/>
    <xf numFmtId="43" fontId="2" fillId="0" borderId="1" xfId="1" applyFont="1" applyBorder="1"/>
    <xf numFmtId="0" fontId="5" fillId="0" borderId="0" xfId="0" applyFont="1"/>
    <xf numFmtId="43" fontId="6" fillId="0" borderId="0" xfId="1" quotePrefix="1" applyFont="1"/>
    <xf numFmtId="43" fontId="6" fillId="0" borderId="0" xfId="1" applyFont="1"/>
    <xf numFmtId="43" fontId="3" fillId="2" borderId="0" xfId="1" applyFont="1" applyFill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1" fillId="0" borderId="1" xfId="1" quotePrefix="1" applyFont="1" applyBorder="1"/>
    <xf numFmtId="43" fontId="1" fillId="0" borderId="1" xfId="1" quotePrefix="1" applyFont="1" applyBorder="1" applyAlignment="1">
      <alignment horizontal="center" vertical="center"/>
    </xf>
    <xf numFmtId="43" fontId="0" fillId="0" borderId="0" xfId="0" applyNumberFormat="1"/>
    <xf numFmtId="43" fontId="2" fillId="0" borderId="3" xfId="1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</cellXfs>
  <cellStyles count="4">
    <cellStyle name="Accent2" xfId="3" builtinId="33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dmila Yusufova" id="{AFBCD40B-FD5D-443B-B18C-02AE662E3945}" userId="dd17708efd53229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27T00:57:11.90" personId="{AFBCD40B-FD5D-443B-B18C-02AE662E3945}" id="{75726A2F-D8B5-494A-9F8D-EC70578E3A0B}">
    <text>SUV</text>
  </threadedComment>
  <threadedComment ref="C1" dT="2026-05-27T00:57:21.30" personId="{AFBCD40B-FD5D-443B-B18C-02AE662E3945}" id="{1851DC89-E59D-4D43-9981-4B8FE471F3C9}">
    <text>SUV</text>
  </threadedComment>
  <threadedComment ref="D1" dT="2026-05-27T00:56:46.20" personId="{AFBCD40B-FD5D-443B-B18C-02AE662E3945}" id="{BA4E5836-F2CA-4A8D-8A2D-BE0EDA8350DC}">
    <text>Toyota Coster</text>
  </threadedComment>
  <threadedComment ref="A4" dT="2026-05-27T01:03:24.14" personId="{AFBCD40B-FD5D-443B-B18C-02AE662E3945}" id="{42697B6C-CF4D-4ECD-B777-4C57A9090FC4}">
    <text xml:space="preserve">Including Luggage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5-27T00:57:11.90" personId="{AFBCD40B-FD5D-443B-B18C-02AE662E3945}" id="{3218249B-3412-4F0D-A522-2AAF57D57736}">
    <text>SUV</text>
  </threadedComment>
  <threadedComment ref="C1" dT="2026-05-27T00:57:21.30" personId="{AFBCD40B-FD5D-443B-B18C-02AE662E3945}" id="{C97D6B5D-168D-480A-8EC0-9FD4A2E66B7F}">
    <text>SUV</text>
  </threadedComment>
  <threadedComment ref="D1" dT="2026-05-27T00:56:46.20" personId="{AFBCD40B-FD5D-443B-B18C-02AE662E3945}" id="{C257DB22-9017-47C6-BF8F-D65B221955D4}">
    <text>Toyota Coster</text>
  </threadedComment>
  <threadedComment ref="A4" dT="2026-05-27T01:03:24.14" personId="{AFBCD40B-FD5D-443B-B18C-02AE662E3945}" id="{95539DB3-2E58-4857-9BE4-831F525C0B04}">
    <text xml:space="preserve">Including Luggage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5-27T00:57:11.90" personId="{AFBCD40B-FD5D-443B-B18C-02AE662E3945}" id="{BCF84587-81B5-4266-BC75-ECC4D83A1D8F}">
    <text>SUV</text>
  </threadedComment>
  <threadedComment ref="C1" dT="2026-05-27T00:57:21.30" personId="{AFBCD40B-FD5D-443B-B18C-02AE662E3945}" id="{FD15BB52-021C-47E7-9A18-D6746BA9BB8F}">
    <text>SUV</text>
  </threadedComment>
  <threadedComment ref="D1" dT="2026-05-27T00:56:46.20" personId="{AFBCD40B-FD5D-443B-B18C-02AE662E3945}" id="{70B7ABB4-A8F2-40CB-B9E0-9B1DB4F6A13A}">
    <text>Toyota Coster</text>
  </threadedComment>
  <threadedComment ref="A4" dT="2026-05-27T01:03:24.14" personId="{AFBCD40B-FD5D-443B-B18C-02AE662E3945}" id="{E6E2728B-C737-4F3B-AA6C-E6799C6D2681}">
    <text xml:space="preserve">Including Luggage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6-05-27T00:57:11.90" personId="{AFBCD40B-FD5D-443B-B18C-02AE662E3945}" id="{36D88611-6383-4435-ADFA-166D3EF96742}">
    <text>SUV</text>
  </threadedComment>
  <threadedComment ref="C1" dT="2026-05-27T00:57:21.30" personId="{AFBCD40B-FD5D-443B-B18C-02AE662E3945}" id="{440348F6-2FF0-4C92-A996-C07C22F25169}">
    <text>SUV</text>
  </threadedComment>
  <threadedComment ref="D1" dT="2026-05-27T00:56:46.20" personId="{AFBCD40B-FD5D-443B-B18C-02AE662E3945}" id="{9B186259-199D-4CD1-843D-A80D4B62796A}">
    <text>Toyota Coster</text>
  </threadedComment>
  <threadedComment ref="E1" dT="2026-05-27T00:56:55.66" personId="{AFBCD40B-FD5D-443B-B18C-02AE662E3945}" id="{8B395246-7EE8-4030-BA51-E898FF91C635}">
    <text xml:space="preserve">Bus </text>
  </threadedComment>
  <threadedComment ref="A4" dT="2026-05-27T01:03:24.14" personId="{AFBCD40B-FD5D-443B-B18C-02AE662E3945}" id="{8077C03A-D5C9-4954-A9A0-0C257F6E8939}">
    <text xml:space="preserve">Including Luggage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6-05-27T00:57:11.90" personId="{AFBCD40B-FD5D-443B-B18C-02AE662E3945}" id="{B4D6D985-2A3E-4614-8AB5-8330B862E3AE}">
    <text>SUV</text>
  </threadedComment>
  <threadedComment ref="C1" dT="2026-05-27T00:57:21.30" personId="{AFBCD40B-FD5D-443B-B18C-02AE662E3945}" id="{980A0C9F-D228-4C49-B463-64DB72B34529}">
    <text>SUV</text>
  </threadedComment>
  <threadedComment ref="A4" dT="2026-05-27T01:03:24.14" personId="{AFBCD40B-FD5D-443B-B18C-02AE662E3945}" id="{1EDD0C46-6CC7-4ADA-BCCE-087046FE5BFC}">
    <text xml:space="preserve">Including Luggage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6-05-27T00:57:11.90" personId="{AFBCD40B-FD5D-443B-B18C-02AE662E3945}" id="{E6F85E0C-857A-4BDA-B2D2-536C0CCCE6F4}">
    <text>SUV</text>
  </threadedComment>
  <threadedComment ref="E1" dT="2026-05-27T00:57:21.30" personId="{AFBCD40B-FD5D-443B-B18C-02AE662E3945}" id="{2893FC99-9E82-498D-9CD5-F0F5B00ED610}">
    <text>SUV</text>
  </threadedComment>
  <threadedComment ref="F1" dT="2026-05-27T00:54:06.58" personId="{AFBCD40B-FD5D-443B-B18C-02AE662E3945}" id="{326749D1-1235-4F3A-806B-0A2DA3FEEE9D}">
    <text>Toyota Hiace</text>
  </threadedComment>
  <threadedComment ref="G1" dT="2026-05-27T00:56:46.20" personId="{AFBCD40B-FD5D-443B-B18C-02AE662E3945}" id="{5A8E07ED-ED3F-4473-A64D-87F443F381FE}">
    <text>Toyota Coster</text>
  </threadedComment>
  <threadedComment ref="H1" dT="2026-05-27T00:56:55.66" personId="{AFBCD40B-FD5D-443B-B18C-02AE662E3945}" id="{70305152-36C1-49DD-87F9-B93B56750969}">
    <text xml:space="preserve">Bus </text>
  </threadedComment>
  <threadedComment ref="A4" dT="2026-05-27T01:03:24.14" personId="{AFBCD40B-FD5D-443B-B18C-02AE662E3945}" id="{53D1B89A-F369-4A97-B086-0A7001C416FE}">
    <text xml:space="preserve">Including Luggage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1" dT="2026-05-27T00:57:11.90" personId="{AFBCD40B-FD5D-443B-B18C-02AE662E3945}" id="{4F141CFE-7FD5-4A9B-8669-35D21CA8E20B}">
    <text>SUV</text>
  </threadedComment>
  <threadedComment ref="E1" dT="2026-05-27T00:57:21.30" personId="{AFBCD40B-FD5D-443B-B18C-02AE662E3945}" id="{3D5478BD-2D16-4809-833F-7A5B4B851026}">
    <text>SUV</text>
  </threadedComment>
  <threadedComment ref="F1" dT="2026-05-27T00:54:06.58" personId="{AFBCD40B-FD5D-443B-B18C-02AE662E3945}" id="{D2B54733-6FF7-4C03-8A0A-95496DFF209F}">
    <text>Toyota Hiace</text>
  </threadedComment>
  <threadedComment ref="G1" dT="2026-05-27T00:56:46.20" personId="{AFBCD40B-FD5D-443B-B18C-02AE662E3945}" id="{6B93B94F-BF26-44D3-9E02-2ACD8A7ACC37}">
    <text>Toyota Coster</text>
  </threadedComment>
  <threadedComment ref="H1" dT="2026-05-27T00:56:55.66" personId="{AFBCD40B-FD5D-443B-B18C-02AE662E3945}" id="{87251121-3122-4490-B361-5903849354B0}">
    <text xml:space="preserve">Bus </text>
  </threadedComment>
  <threadedComment ref="J1" dT="2026-05-27T00:54:06.58" personId="{AFBCD40B-FD5D-443B-B18C-02AE662E3945}" id="{A32F4A05-0662-4D74-9E29-B3046B3DBBFB}">
    <text>Toyota Hiace</text>
  </threadedComment>
  <threadedComment ref="A4" dT="2026-05-27T01:03:24.14" personId="{AFBCD40B-FD5D-443B-B18C-02AE662E3945}" id="{F1F05E14-B7A5-4502-A7E2-B0A78F6329C9}">
    <text xml:space="preserve">Including Luggage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F11B-9ED8-4C11-978E-AC42416DD555}">
  <sheetPr>
    <tabColor rgb="FF0070C0"/>
  </sheetPr>
  <dimension ref="A1"/>
  <sheetViews>
    <sheetView workbookViewId="0">
      <selection activeCell="F31" sqref="F3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AF9-9B53-41A9-B4F9-C5249576FFE7}">
  <sheetPr>
    <tabColor rgb="FFFF0000"/>
  </sheetPr>
  <dimension ref="A1:H35"/>
  <sheetViews>
    <sheetView tabSelected="1" zoomScale="120" zoomScaleNormal="120"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L26" sqref="L26"/>
    </sheetView>
  </sheetViews>
  <sheetFormatPr defaultRowHeight="14.5" outlineLevelRow="1" x14ac:dyDescent="0.35"/>
  <cols>
    <col min="1" max="1" width="35.81640625" bestFit="1" customWidth="1"/>
    <col min="2" max="2" width="12.54296875" style="12" hidden="1" customWidth="1"/>
    <col min="3" max="3" width="12.54296875" style="12" customWidth="1"/>
    <col min="4" max="4" width="10.7265625" style="21" hidden="1" customWidth="1"/>
    <col min="5" max="5" width="9.36328125" bestFit="1" customWidth="1"/>
    <col min="6" max="6" width="8" bestFit="1" customWidth="1"/>
    <col min="7" max="7" width="9.36328125" bestFit="1" customWidth="1"/>
    <col min="8" max="8" width="11.1796875" customWidth="1"/>
    <col min="9" max="9" width="13.6328125" bestFit="1" customWidth="1"/>
    <col min="13" max="13" width="8.26953125" customWidth="1"/>
  </cols>
  <sheetData>
    <row r="1" spans="1:8" ht="29" x14ac:dyDescent="0.35">
      <c r="A1" s="4" t="s">
        <v>0</v>
      </c>
      <c r="B1" s="8" t="s">
        <v>2</v>
      </c>
      <c r="C1" s="9" t="s">
        <v>3</v>
      </c>
      <c r="D1" s="19" t="s">
        <v>5</v>
      </c>
    </row>
    <row r="2" spans="1:8" x14ac:dyDescent="0.35">
      <c r="A2" s="1"/>
      <c r="B2" s="10"/>
      <c r="C2" s="11"/>
      <c r="D2" s="20"/>
    </row>
    <row r="3" spans="1:8" ht="15.5" customHeight="1" x14ac:dyDescent="0.35">
      <c r="A3" s="3" t="s">
        <v>25</v>
      </c>
      <c r="B3" s="23">
        <f>SUM(B4:B14)</f>
        <v>1616</v>
      </c>
      <c r="C3" s="23">
        <f>SUM(C4:C14)</f>
        <v>2031</v>
      </c>
      <c r="D3" s="24">
        <f>SUM(D4:D14)</f>
        <v>12276</v>
      </c>
    </row>
    <row r="4" spans="1:8" outlineLevel="1" x14ac:dyDescent="0.35">
      <c r="A4" t="s">
        <v>7</v>
      </c>
      <c r="B4" s="12">
        <f>(10*3)</f>
        <v>30</v>
      </c>
      <c r="C4" s="12">
        <f>(10*3)</f>
        <v>30</v>
      </c>
      <c r="D4" s="21">
        <f t="shared" ref="D4" si="0">(10*3)</f>
        <v>30</v>
      </c>
    </row>
    <row r="5" spans="1:8" outlineLevel="1" x14ac:dyDescent="0.35">
      <c r="A5" t="s">
        <v>8</v>
      </c>
      <c r="B5" s="12">
        <v>25</v>
      </c>
      <c r="C5" s="12">
        <f>+B5*2</f>
        <v>50</v>
      </c>
      <c r="D5" s="21">
        <f>+B5*15</f>
        <v>375</v>
      </c>
    </row>
    <row r="6" spans="1:8" outlineLevel="1" x14ac:dyDescent="0.35">
      <c r="A6" t="s">
        <v>24</v>
      </c>
      <c r="B6" s="12">
        <f>30*4</f>
        <v>120</v>
      </c>
      <c r="C6" s="12">
        <f>30*4</f>
        <v>120</v>
      </c>
      <c r="D6" s="21">
        <f>(2800+9000)/50</f>
        <v>236</v>
      </c>
    </row>
    <row r="7" spans="1:8" outlineLevel="1" x14ac:dyDescent="0.35">
      <c r="A7" t="s">
        <v>19</v>
      </c>
      <c r="B7" s="12">
        <f>200*3</f>
        <v>600</v>
      </c>
      <c r="C7" s="12">
        <f>200*3</f>
        <v>600</v>
      </c>
      <c r="D7" s="12">
        <f>(200*8)*3</f>
        <v>4800</v>
      </c>
    </row>
    <row r="8" spans="1:8" outlineLevel="1" x14ac:dyDescent="0.35">
      <c r="A8" t="s">
        <v>18</v>
      </c>
      <c r="B8" s="12">
        <f>3*40</f>
        <v>120</v>
      </c>
      <c r="C8" s="12">
        <f>3*40</f>
        <v>120</v>
      </c>
      <c r="D8" s="21">
        <f t="shared" ref="D8" si="1">6*40</f>
        <v>240</v>
      </c>
    </row>
    <row r="9" spans="1:8" outlineLevel="1" x14ac:dyDescent="0.35">
      <c r="A9" t="s">
        <v>12</v>
      </c>
      <c r="B9" s="12">
        <f>50+150</f>
        <v>200</v>
      </c>
      <c r="C9" s="12">
        <f t="shared" ref="C9:D9" si="2">50+150</f>
        <v>200</v>
      </c>
      <c r="D9" s="21">
        <f t="shared" si="2"/>
        <v>200</v>
      </c>
    </row>
    <row r="10" spans="1:8" outlineLevel="1" x14ac:dyDescent="0.35">
      <c r="A10" t="s">
        <v>13</v>
      </c>
      <c r="B10" s="12">
        <f>3*30</f>
        <v>90</v>
      </c>
      <c r="C10" s="12">
        <f t="shared" ref="C10:D10" si="3">3*30</f>
        <v>90</v>
      </c>
      <c r="D10" s="21">
        <f t="shared" si="3"/>
        <v>90</v>
      </c>
    </row>
    <row r="11" spans="1:8" outlineLevel="1" x14ac:dyDescent="0.35">
      <c r="A11" t="s">
        <v>26</v>
      </c>
      <c r="B11" s="12">
        <f>(2250+1200)/50</f>
        <v>69</v>
      </c>
      <c r="C11" s="12">
        <f>+B11*2</f>
        <v>138</v>
      </c>
      <c r="D11" s="21">
        <f>+B11*15</f>
        <v>1035</v>
      </c>
    </row>
    <row r="12" spans="1:8" outlineLevel="1" x14ac:dyDescent="0.35">
      <c r="A12" t="s">
        <v>10</v>
      </c>
      <c r="B12" s="12">
        <f>20</f>
        <v>20</v>
      </c>
      <c r="C12" s="12">
        <f>20</f>
        <v>20</v>
      </c>
      <c r="D12" s="21">
        <f>+C12*7</f>
        <v>140</v>
      </c>
    </row>
    <row r="13" spans="1:8" outlineLevel="1" x14ac:dyDescent="0.35">
      <c r="A13" t="s">
        <v>20</v>
      </c>
      <c r="B13" s="12">
        <f>2100/50</f>
        <v>42</v>
      </c>
      <c r="C13" s="12">
        <f>+B13*1.5</f>
        <v>63</v>
      </c>
      <c r="D13" s="21">
        <f>+B13*15</f>
        <v>630</v>
      </c>
    </row>
    <row r="14" spans="1:8" outlineLevel="1" x14ac:dyDescent="0.35">
      <c r="A14" t="s">
        <v>14</v>
      </c>
      <c r="B14" s="12">
        <f>150*2</f>
        <v>300</v>
      </c>
      <c r="C14" s="12">
        <f>+B14*2</f>
        <v>600</v>
      </c>
      <c r="D14" s="21">
        <f>+B14*15</f>
        <v>4500</v>
      </c>
    </row>
    <row r="16" spans="1:8" s="12" customFormat="1" x14ac:dyDescent="0.35">
      <c r="A16" s="16" t="s">
        <v>47</v>
      </c>
      <c r="B16" s="23">
        <f>SUM(B17:B23)</f>
        <v>520</v>
      </c>
      <c r="C16" s="23">
        <f>SUM(C17:C23)</f>
        <v>2217.8000000000002</v>
      </c>
      <c r="D16" s="24">
        <f>SUM(D17:D23)</f>
        <v>3710</v>
      </c>
      <c r="E16"/>
      <c r="F16"/>
      <c r="G16"/>
      <c r="H16"/>
    </row>
    <row r="17" spans="1:8" s="12" customFormat="1" x14ac:dyDescent="0.35">
      <c r="A17" t="s">
        <v>45</v>
      </c>
      <c r="B17" s="12">
        <f>100+20</f>
        <v>120</v>
      </c>
      <c r="C17" s="21">
        <f>((1200+600+500+300+750+1300+100+600)/50)+50</f>
        <v>157</v>
      </c>
      <c r="D17" s="21">
        <f>((9000+2600+900+1800)/50)+4</f>
        <v>290</v>
      </c>
      <c r="E17"/>
      <c r="F17"/>
      <c r="G17"/>
      <c r="H17"/>
    </row>
    <row r="18" spans="1:8" s="12" customFormat="1" x14ac:dyDescent="0.35">
      <c r="A18" t="s">
        <v>18</v>
      </c>
      <c r="B18" s="12">
        <v>20</v>
      </c>
      <c r="C18" s="12">
        <v>200</v>
      </c>
      <c r="D18" s="21">
        <f>+B18</f>
        <v>20</v>
      </c>
      <c r="E18"/>
      <c r="F18"/>
      <c r="G18"/>
      <c r="H18"/>
    </row>
    <row r="19" spans="1:8" s="12" customFormat="1" x14ac:dyDescent="0.35">
      <c r="A19" t="s">
        <v>46</v>
      </c>
      <c r="B19" s="12">
        <v>250</v>
      </c>
      <c r="C19" s="12">
        <f>400*4</f>
        <v>1600</v>
      </c>
      <c r="D19" s="21">
        <f>250*8</f>
        <v>2000</v>
      </c>
      <c r="E19"/>
      <c r="F19"/>
      <c r="G19"/>
      <c r="H19"/>
    </row>
    <row r="20" spans="1:8" s="12" customFormat="1" x14ac:dyDescent="0.35">
      <c r="A20" t="s">
        <v>17</v>
      </c>
      <c r="B20" s="12">
        <v>30</v>
      </c>
      <c r="C20" s="21">
        <f>((550+220+200+450+550+1100+750+450)/50)*2</f>
        <v>170.8</v>
      </c>
      <c r="D20" s="21">
        <f>+B20*15</f>
        <v>450</v>
      </c>
      <c r="E20"/>
      <c r="F20"/>
      <c r="G20"/>
      <c r="H20"/>
    </row>
    <row r="21" spans="1:8" s="12" customFormat="1" x14ac:dyDescent="0.35">
      <c r="A21" t="s">
        <v>10</v>
      </c>
      <c r="B21" s="12">
        <v>20</v>
      </c>
      <c r="C21" s="12">
        <v>20</v>
      </c>
      <c r="D21" s="21">
        <f>+B21*15</f>
        <v>300</v>
      </c>
      <c r="E21"/>
      <c r="F21"/>
      <c r="G21"/>
      <c r="H21"/>
    </row>
    <row r="22" spans="1:8" s="12" customFormat="1" x14ac:dyDescent="0.35">
      <c r="A22" t="s">
        <v>20</v>
      </c>
      <c r="B22" s="12">
        <v>30</v>
      </c>
      <c r="C22" s="12">
        <v>20</v>
      </c>
      <c r="D22" s="21">
        <f>+B22*15</f>
        <v>450</v>
      </c>
      <c r="E22"/>
      <c r="F22"/>
      <c r="G22"/>
      <c r="H22"/>
    </row>
    <row r="23" spans="1:8" s="12" customFormat="1" x14ac:dyDescent="0.35">
      <c r="A23" t="s">
        <v>32</v>
      </c>
      <c r="B23" s="12">
        <v>50</v>
      </c>
      <c r="C23" s="12">
        <v>50</v>
      </c>
      <c r="D23" s="21">
        <v>200</v>
      </c>
      <c r="E23"/>
      <c r="F23"/>
      <c r="G23"/>
      <c r="H23"/>
    </row>
    <row r="26" spans="1:8" s="12" customFormat="1" x14ac:dyDescent="0.35">
      <c r="A26" s="6" t="s">
        <v>21</v>
      </c>
      <c r="B26" s="15" t="e">
        <f>+B3+#REF!+B16</f>
        <v>#REF!</v>
      </c>
      <c r="C26" s="15">
        <f>+C16+C3</f>
        <v>4248.8</v>
      </c>
      <c r="D26" s="15" t="e">
        <f>+D3+#REF!+D16</f>
        <v>#REF!</v>
      </c>
      <c r="E26"/>
      <c r="F26"/>
    </row>
    <row r="27" spans="1:8" s="12" customFormat="1" x14ac:dyDescent="0.35">
      <c r="A27" s="6" t="s">
        <v>23</v>
      </c>
      <c r="B27" s="15" t="e">
        <f>+B26*1.3</f>
        <v>#REF!</v>
      </c>
      <c r="C27" s="15">
        <f>+C26*1.5</f>
        <v>6373.2000000000007</v>
      </c>
      <c r="D27" s="15" t="e">
        <f t="shared" ref="D27" si="4">+D26*1.3</f>
        <v>#REF!</v>
      </c>
      <c r="E27"/>
      <c r="F27"/>
    </row>
    <row r="28" spans="1:8" s="12" customFormat="1" x14ac:dyDescent="0.35">
      <c r="A28" s="1" t="s">
        <v>22</v>
      </c>
      <c r="B28" s="13" t="e">
        <f>(B27-B26)/B26</f>
        <v>#REF!</v>
      </c>
      <c r="C28" s="13">
        <f>(C27-C26)/C26</f>
        <v>0.50000000000000011</v>
      </c>
      <c r="D28" s="13" t="e">
        <f t="shared" ref="D28" si="5">(D27-D26)/D26</f>
        <v>#REF!</v>
      </c>
      <c r="E28"/>
      <c r="F28"/>
    </row>
    <row r="29" spans="1:8" s="12" customFormat="1" ht="15" thickBot="1" x14ac:dyDescent="0.4">
      <c r="A29" s="7" t="s">
        <v>28</v>
      </c>
      <c r="B29" s="14" t="e">
        <f>+B27-B26</f>
        <v>#REF!</v>
      </c>
      <c r="C29" s="14">
        <f>+C27-C26</f>
        <v>2124.4000000000005</v>
      </c>
      <c r="D29" s="14" t="e">
        <f t="shared" ref="D29" si="6">+D27-D26</f>
        <v>#REF!</v>
      </c>
      <c r="E29"/>
    </row>
    <row r="30" spans="1:8" s="12" customFormat="1" ht="15" thickTop="1" x14ac:dyDescent="0.35">
      <c r="A30"/>
      <c r="D30" s="21"/>
      <c r="E30"/>
    </row>
    <row r="31" spans="1:8" x14ac:dyDescent="0.35">
      <c r="A31" s="1" t="s">
        <v>40</v>
      </c>
      <c r="C31" s="12">
        <f>+C27/2</f>
        <v>3186.6000000000004</v>
      </c>
    </row>
    <row r="32" spans="1:8" x14ac:dyDescent="0.35">
      <c r="A32" s="1" t="s">
        <v>42</v>
      </c>
      <c r="C32" s="12">
        <f>+C31*0.9</f>
        <v>2867.9400000000005</v>
      </c>
      <c r="E32" s="12"/>
    </row>
    <row r="33" spans="1:6" x14ac:dyDescent="0.35">
      <c r="A33" s="1" t="s">
        <v>43</v>
      </c>
      <c r="C33" s="21">
        <f>+C31*0.8</f>
        <v>2549.2800000000007</v>
      </c>
      <c r="E33" s="12"/>
      <c r="F33" s="25"/>
    </row>
    <row r="34" spans="1:6" x14ac:dyDescent="0.35">
      <c r="A34" s="1" t="s">
        <v>41</v>
      </c>
      <c r="C34" s="12">
        <f>+C31*0.7</f>
        <v>2230.62</v>
      </c>
      <c r="E34" s="12"/>
    </row>
    <row r="35" spans="1:6" x14ac:dyDescent="0.35">
      <c r="E35" s="12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3540-0DED-4BF8-9C1C-4E55458C6D1D}">
  <dimension ref="A1:H35"/>
  <sheetViews>
    <sheetView zoomScale="120" zoomScaleNormal="120"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C23" sqref="C23"/>
    </sheetView>
  </sheetViews>
  <sheetFormatPr defaultRowHeight="14.5" outlineLevelRow="1" x14ac:dyDescent="0.35"/>
  <cols>
    <col min="1" max="1" width="35.81640625" bestFit="1" customWidth="1"/>
    <col min="2" max="2" width="12.54296875" style="12" hidden="1" customWidth="1"/>
    <col min="3" max="3" width="12.54296875" style="12" customWidth="1"/>
    <col min="4" max="4" width="10.7265625" style="21" hidden="1" customWidth="1"/>
    <col min="5" max="5" width="9.36328125" bestFit="1" customWidth="1"/>
    <col min="6" max="6" width="8" bestFit="1" customWidth="1"/>
    <col min="7" max="7" width="9.36328125" bestFit="1" customWidth="1"/>
    <col min="8" max="8" width="11.1796875" customWidth="1"/>
    <col min="9" max="9" width="13.6328125" bestFit="1" customWidth="1"/>
    <col min="13" max="13" width="8.26953125" customWidth="1"/>
  </cols>
  <sheetData>
    <row r="1" spans="1:8" ht="29" x14ac:dyDescent="0.35">
      <c r="A1" s="4" t="s">
        <v>0</v>
      </c>
      <c r="B1" s="8" t="s">
        <v>2</v>
      </c>
      <c r="C1" s="9" t="s">
        <v>3</v>
      </c>
      <c r="D1" s="19" t="s">
        <v>5</v>
      </c>
    </row>
    <row r="2" spans="1:8" x14ac:dyDescent="0.35">
      <c r="A2" s="1"/>
      <c r="B2" s="10"/>
      <c r="C2" s="11"/>
      <c r="D2" s="20"/>
    </row>
    <row r="3" spans="1:8" ht="15.5" customHeight="1" x14ac:dyDescent="0.35">
      <c r="A3" s="3" t="s">
        <v>25</v>
      </c>
      <c r="B3" s="23">
        <f>SUM(B4:B14)</f>
        <v>1616</v>
      </c>
      <c r="C3" s="23">
        <f>SUM(C4:C14)</f>
        <v>2031</v>
      </c>
      <c r="D3" s="24">
        <f>SUM(D4:D14)</f>
        <v>12276</v>
      </c>
    </row>
    <row r="4" spans="1:8" outlineLevel="1" x14ac:dyDescent="0.35">
      <c r="A4" t="s">
        <v>7</v>
      </c>
      <c r="B4" s="12">
        <f>(10*3)</f>
        <v>30</v>
      </c>
      <c r="C4" s="12">
        <f>(10*3)</f>
        <v>30</v>
      </c>
      <c r="D4" s="21">
        <f t="shared" ref="D4" si="0">(10*3)</f>
        <v>30</v>
      </c>
    </row>
    <row r="5" spans="1:8" outlineLevel="1" x14ac:dyDescent="0.35">
      <c r="A5" t="s">
        <v>8</v>
      </c>
      <c r="B5" s="12">
        <v>25</v>
      </c>
      <c r="C5" s="12">
        <f>+B5*2</f>
        <v>50</v>
      </c>
      <c r="D5" s="21">
        <f>+B5*15</f>
        <v>375</v>
      </c>
    </row>
    <row r="6" spans="1:8" outlineLevel="1" x14ac:dyDescent="0.35">
      <c r="A6" t="s">
        <v>24</v>
      </c>
      <c r="B6" s="12">
        <f>30*4</f>
        <v>120</v>
      </c>
      <c r="C6" s="12">
        <f>30*4</f>
        <v>120</v>
      </c>
      <c r="D6" s="21">
        <f>(2800+9000)/50</f>
        <v>236</v>
      </c>
    </row>
    <row r="7" spans="1:8" outlineLevel="1" x14ac:dyDescent="0.35">
      <c r="A7" t="s">
        <v>19</v>
      </c>
      <c r="B7" s="12">
        <f>200*3</f>
        <v>600</v>
      </c>
      <c r="C7" s="12">
        <f>200*3</f>
        <v>600</v>
      </c>
      <c r="D7" s="12">
        <f>(200*8)*3</f>
        <v>4800</v>
      </c>
    </row>
    <row r="8" spans="1:8" outlineLevel="1" x14ac:dyDescent="0.35">
      <c r="A8" t="s">
        <v>18</v>
      </c>
      <c r="B8" s="12">
        <f>3*40</f>
        <v>120</v>
      </c>
      <c r="C8" s="12">
        <f>3*40</f>
        <v>120</v>
      </c>
      <c r="D8" s="21">
        <f t="shared" ref="D8" si="1">6*40</f>
        <v>240</v>
      </c>
    </row>
    <row r="9" spans="1:8" outlineLevel="1" x14ac:dyDescent="0.35">
      <c r="A9" t="s">
        <v>12</v>
      </c>
      <c r="B9" s="12">
        <f>50+150</f>
        <v>200</v>
      </c>
      <c r="C9" s="12">
        <f t="shared" ref="C9:D9" si="2">50+150</f>
        <v>200</v>
      </c>
      <c r="D9" s="21">
        <f t="shared" si="2"/>
        <v>200</v>
      </c>
    </row>
    <row r="10" spans="1:8" outlineLevel="1" x14ac:dyDescent="0.35">
      <c r="A10" t="s">
        <v>13</v>
      </c>
      <c r="B10" s="12">
        <f>3*30</f>
        <v>90</v>
      </c>
      <c r="C10" s="12">
        <f t="shared" ref="C10:D10" si="3">3*30</f>
        <v>90</v>
      </c>
      <c r="D10" s="21">
        <f t="shared" si="3"/>
        <v>90</v>
      </c>
    </row>
    <row r="11" spans="1:8" outlineLevel="1" x14ac:dyDescent="0.35">
      <c r="A11" t="s">
        <v>26</v>
      </c>
      <c r="B11" s="12">
        <f>(2250+1200)/50</f>
        <v>69</v>
      </c>
      <c r="C11" s="12">
        <f>+B11*2</f>
        <v>138</v>
      </c>
      <c r="D11" s="21">
        <f>+B11*15</f>
        <v>1035</v>
      </c>
    </row>
    <row r="12" spans="1:8" outlineLevel="1" x14ac:dyDescent="0.35">
      <c r="A12" t="s">
        <v>10</v>
      </c>
      <c r="B12" s="12">
        <f>20</f>
        <v>20</v>
      </c>
      <c r="C12" s="12">
        <f>20</f>
        <v>20</v>
      </c>
      <c r="D12" s="21">
        <f>+C12*7</f>
        <v>140</v>
      </c>
    </row>
    <row r="13" spans="1:8" outlineLevel="1" x14ac:dyDescent="0.35">
      <c r="A13" t="s">
        <v>20</v>
      </c>
      <c r="B13" s="12">
        <f>2100/50</f>
        <v>42</v>
      </c>
      <c r="C13" s="12">
        <f>+B13*1.5</f>
        <v>63</v>
      </c>
      <c r="D13" s="21">
        <f>+B13*15</f>
        <v>630</v>
      </c>
    </row>
    <row r="14" spans="1:8" outlineLevel="1" x14ac:dyDescent="0.35">
      <c r="A14" t="s">
        <v>14</v>
      </c>
      <c r="B14" s="12">
        <f>150*2</f>
        <v>300</v>
      </c>
      <c r="C14" s="12">
        <f>+B14*2</f>
        <v>600</v>
      </c>
      <c r="D14" s="21">
        <f>+B14*15</f>
        <v>4500</v>
      </c>
    </row>
    <row r="16" spans="1:8" s="12" customFormat="1" x14ac:dyDescent="0.35">
      <c r="A16" s="16" t="s">
        <v>47</v>
      </c>
      <c r="B16" s="23">
        <f>SUM(B17:B23)</f>
        <v>520</v>
      </c>
      <c r="C16" s="23">
        <f>SUM(C17:C23)</f>
        <v>2217.8000000000002</v>
      </c>
      <c r="D16" s="24">
        <f>SUM(D17:D23)</f>
        <v>3710</v>
      </c>
      <c r="E16"/>
      <c r="F16"/>
      <c r="G16"/>
      <c r="H16"/>
    </row>
    <row r="17" spans="1:8" s="12" customFormat="1" x14ac:dyDescent="0.35">
      <c r="A17" t="s">
        <v>45</v>
      </c>
      <c r="B17" s="12">
        <f>100+20</f>
        <v>120</v>
      </c>
      <c r="C17" s="21">
        <f>((1200+600+500+300+750+1300+100+600)/50)+50</f>
        <v>157</v>
      </c>
      <c r="D17" s="21">
        <f>((9000+2600+900+1800)/50)+4</f>
        <v>290</v>
      </c>
      <c r="E17"/>
      <c r="F17"/>
      <c r="G17"/>
      <c r="H17"/>
    </row>
    <row r="18" spans="1:8" s="12" customFormat="1" x14ac:dyDescent="0.35">
      <c r="A18" t="s">
        <v>18</v>
      </c>
      <c r="B18" s="12">
        <v>20</v>
      </c>
      <c r="C18" s="12">
        <v>200</v>
      </c>
      <c r="D18" s="21">
        <f>+B18</f>
        <v>20</v>
      </c>
      <c r="E18"/>
      <c r="F18"/>
      <c r="G18"/>
      <c r="H18"/>
    </row>
    <row r="19" spans="1:8" s="12" customFormat="1" x14ac:dyDescent="0.35">
      <c r="A19" t="s">
        <v>46</v>
      </c>
      <c r="B19" s="12">
        <v>250</v>
      </c>
      <c r="C19" s="12">
        <f>400*4</f>
        <v>1600</v>
      </c>
      <c r="D19" s="21">
        <f>250*8</f>
        <v>2000</v>
      </c>
      <c r="E19"/>
      <c r="F19"/>
      <c r="G19"/>
      <c r="H19"/>
    </row>
    <row r="20" spans="1:8" s="12" customFormat="1" x14ac:dyDescent="0.35">
      <c r="A20" t="s">
        <v>17</v>
      </c>
      <c r="B20" s="12">
        <v>30</v>
      </c>
      <c r="C20" s="21">
        <f>((550+220+200+450+550+1100+750+450)/50)*2</f>
        <v>170.8</v>
      </c>
      <c r="D20" s="21">
        <f>+B20*15</f>
        <v>450</v>
      </c>
      <c r="E20"/>
      <c r="F20"/>
      <c r="G20"/>
      <c r="H20"/>
    </row>
    <row r="21" spans="1:8" s="12" customFormat="1" x14ac:dyDescent="0.35">
      <c r="A21" t="s">
        <v>10</v>
      </c>
      <c r="B21" s="12">
        <v>20</v>
      </c>
      <c r="C21" s="12">
        <v>20</v>
      </c>
      <c r="D21" s="21">
        <f>+B21*15</f>
        <v>300</v>
      </c>
      <c r="E21"/>
      <c r="F21"/>
      <c r="G21"/>
      <c r="H21"/>
    </row>
    <row r="22" spans="1:8" s="12" customFormat="1" x14ac:dyDescent="0.35">
      <c r="A22" t="s">
        <v>20</v>
      </c>
      <c r="B22" s="12">
        <v>30</v>
      </c>
      <c r="C22" s="12">
        <v>20</v>
      </c>
      <c r="D22" s="21">
        <f>+B22*15</f>
        <v>450</v>
      </c>
      <c r="E22"/>
      <c r="F22"/>
      <c r="G22"/>
      <c r="H22"/>
    </row>
    <row r="23" spans="1:8" s="12" customFormat="1" x14ac:dyDescent="0.35">
      <c r="A23" t="s">
        <v>32</v>
      </c>
      <c r="B23" s="12">
        <v>50</v>
      </c>
      <c r="C23" s="12">
        <v>50</v>
      </c>
      <c r="D23" s="21">
        <v>200</v>
      </c>
      <c r="E23"/>
      <c r="F23"/>
      <c r="G23"/>
      <c r="H23"/>
    </row>
    <row r="26" spans="1:8" s="12" customFormat="1" x14ac:dyDescent="0.35">
      <c r="A26" s="6" t="s">
        <v>21</v>
      </c>
      <c r="B26" s="15" t="e">
        <f>+B3+#REF!+B16</f>
        <v>#REF!</v>
      </c>
      <c r="C26" s="15">
        <f>+C16+C3</f>
        <v>4248.8</v>
      </c>
      <c r="D26" s="15" t="e">
        <f>+D3+#REF!+D16</f>
        <v>#REF!</v>
      </c>
      <c r="E26"/>
      <c r="F26"/>
    </row>
    <row r="27" spans="1:8" s="12" customFormat="1" x14ac:dyDescent="0.35">
      <c r="A27" s="6" t="s">
        <v>23</v>
      </c>
      <c r="B27" s="15" t="e">
        <f>+B26*1.3</f>
        <v>#REF!</v>
      </c>
      <c r="C27" s="15">
        <f>+C26*1.5</f>
        <v>6373.2000000000007</v>
      </c>
      <c r="D27" s="15" t="e">
        <f t="shared" ref="D27" si="4">+D26*1.3</f>
        <v>#REF!</v>
      </c>
      <c r="E27"/>
      <c r="F27"/>
    </row>
    <row r="28" spans="1:8" s="12" customFormat="1" x14ac:dyDescent="0.35">
      <c r="A28" s="1" t="s">
        <v>22</v>
      </c>
      <c r="B28" s="13" t="e">
        <f>(B27-B26)/B26</f>
        <v>#REF!</v>
      </c>
      <c r="C28" s="13">
        <f>(C27-C26)/C26</f>
        <v>0.50000000000000011</v>
      </c>
      <c r="D28" s="13" t="e">
        <f t="shared" ref="D28" si="5">(D27-D26)/D26</f>
        <v>#REF!</v>
      </c>
      <c r="E28"/>
      <c r="F28"/>
    </row>
    <row r="29" spans="1:8" s="12" customFormat="1" ht="15" thickBot="1" x14ac:dyDescent="0.4">
      <c r="A29" s="7" t="s">
        <v>28</v>
      </c>
      <c r="B29" s="14" t="e">
        <f>+B27-B26</f>
        <v>#REF!</v>
      </c>
      <c r="C29" s="14">
        <f>+C27-C26</f>
        <v>2124.4000000000005</v>
      </c>
      <c r="D29" s="14" t="e">
        <f t="shared" ref="D29" si="6">+D27-D26</f>
        <v>#REF!</v>
      </c>
      <c r="E29"/>
    </row>
    <row r="30" spans="1:8" s="12" customFormat="1" ht="15" thickTop="1" x14ac:dyDescent="0.35">
      <c r="A30"/>
      <c r="D30" s="21"/>
      <c r="E30"/>
    </row>
    <row r="31" spans="1:8" x14ac:dyDescent="0.35">
      <c r="A31" s="1" t="s">
        <v>40</v>
      </c>
      <c r="C31" s="12">
        <f>+C27/2</f>
        <v>3186.6000000000004</v>
      </c>
    </row>
    <row r="32" spans="1:8" x14ac:dyDescent="0.35">
      <c r="A32" s="1" t="s">
        <v>42</v>
      </c>
      <c r="C32" s="12">
        <f>+C31*0.9</f>
        <v>2867.9400000000005</v>
      </c>
      <c r="E32" s="12"/>
    </row>
    <row r="33" spans="1:6" x14ac:dyDescent="0.35">
      <c r="A33" s="1" t="s">
        <v>43</v>
      </c>
      <c r="C33" s="21">
        <f>+C31*0.8</f>
        <v>2549.2800000000007</v>
      </c>
      <c r="E33" s="12"/>
      <c r="F33" s="25"/>
    </row>
    <row r="34" spans="1:6" x14ac:dyDescent="0.35">
      <c r="A34" s="1" t="s">
        <v>41</v>
      </c>
      <c r="C34" s="12">
        <f>+C31*0.7</f>
        <v>2230.62</v>
      </c>
      <c r="E34" s="12"/>
    </row>
    <row r="35" spans="1:6" x14ac:dyDescent="0.35">
      <c r="E35" s="12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6483-8A18-4DF0-9D63-C8E4BEA51EFC}">
  <dimension ref="A1:H35"/>
  <sheetViews>
    <sheetView zoomScale="120" zoomScaleNormal="120" workbookViewId="0">
      <pane xSplit="1" ySplit="1" topLeftCell="C7" activePane="bottomRight" state="frozen"/>
      <selection pane="topRight" activeCell="B1" sqref="B1"/>
      <selection pane="bottomLeft" activeCell="A2" sqref="A2"/>
      <selection pane="bottomRight" activeCell="C34" sqref="C34"/>
    </sheetView>
  </sheetViews>
  <sheetFormatPr defaultRowHeight="14.5" outlineLevelRow="1" x14ac:dyDescent="0.35"/>
  <cols>
    <col min="1" max="1" width="35.81640625" bestFit="1" customWidth="1"/>
    <col min="2" max="2" width="12.54296875" style="12" hidden="1" customWidth="1"/>
    <col min="3" max="3" width="12.54296875" style="12" customWidth="1"/>
    <col min="4" max="4" width="10.7265625" style="21" hidden="1" customWidth="1"/>
    <col min="5" max="5" width="9.36328125" bestFit="1" customWidth="1"/>
    <col min="6" max="6" width="8" bestFit="1" customWidth="1"/>
    <col min="7" max="7" width="9.36328125" bestFit="1" customWidth="1"/>
    <col min="8" max="8" width="11.1796875" customWidth="1"/>
    <col min="9" max="9" width="13.6328125" bestFit="1" customWidth="1"/>
    <col min="13" max="13" width="8.26953125" customWidth="1"/>
  </cols>
  <sheetData>
    <row r="1" spans="1:8" ht="29" x14ac:dyDescent="0.35">
      <c r="A1" s="4" t="s">
        <v>0</v>
      </c>
      <c r="B1" s="8" t="s">
        <v>2</v>
      </c>
      <c r="C1" s="9" t="s">
        <v>3</v>
      </c>
      <c r="D1" s="19" t="s">
        <v>5</v>
      </c>
    </row>
    <row r="2" spans="1:8" x14ac:dyDescent="0.35">
      <c r="A2" s="1"/>
      <c r="B2" s="10"/>
      <c r="C2" s="11"/>
      <c r="D2" s="20"/>
    </row>
    <row r="3" spans="1:8" ht="15.5" customHeight="1" x14ac:dyDescent="0.35">
      <c r="A3" s="3" t="s">
        <v>25</v>
      </c>
      <c r="B3" s="23">
        <f>SUM(B4:B14)</f>
        <v>1616</v>
      </c>
      <c r="C3" s="23">
        <f>SUM(C4:C14)</f>
        <v>2031</v>
      </c>
      <c r="D3" s="24">
        <f>SUM(D4:D14)</f>
        <v>12276</v>
      </c>
    </row>
    <row r="4" spans="1:8" outlineLevel="1" x14ac:dyDescent="0.35">
      <c r="A4" t="s">
        <v>7</v>
      </c>
      <c r="B4" s="12">
        <f>(10*3)</f>
        <v>30</v>
      </c>
      <c r="C4" s="12">
        <f>(10*3)</f>
        <v>30</v>
      </c>
      <c r="D4" s="21">
        <f t="shared" ref="D4" si="0">(10*3)</f>
        <v>30</v>
      </c>
    </row>
    <row r="5" spans="1:8" outlineLevel="1" x14ac:dyDescent="0.35">
      <c r="A5" t="s">
        <v>8</v>
      </c>
      <c r="B5" s="12">
        <v>25</v>
      </c>
      <c r="C5" s="12">
        <f>+B5*2</f>
        <v>50</v>
      </c>
      <c r="D5" s="21">
        <f>+B5*15</f>
        <v>375</v>
      </c>
    </row>
    <row r="6" spans="1:8" outlineLevel="1" x14ac:dyDescent="0.35">
      <c r="A6" t="s">
        <v>24</v>
      </c>
      <c r="B6" s="12">
        <f>30*4</f>
        <v>120</v>
      </c>
      <c r="C6" s="12">
        <f>30*4</f>
        <v>120</v>
      </c>
      <c r="D6" s="21">
        <f>(2800+9000)/50</f>
        <v>236</v>
      </c>
    </row>
    <row r="7" spans="1:8" outlineLevel="1" x14ac:dyDescent="0.35">
      <c r="A7" t="s">
        <v>19</v>
      </c>
      <c r="B7" s="12">
        <f>200*3</f>
        <v>600</v>
      </c>
      <c r="C7" s="12">
        <f>200*3</f>
        <v>600</v>
      </c>
      <c r="D7" s="12">
        <f>(200*8)*3</f>
        <v>4800</v>
      </c>
    </row>
    <row r="8" spans="1:8" outlineLevel="1" x14ac:dyDescent="0.35">
      <c r="A8" t="s">
        <v>18</v>
      </c>
      <c r="B8" s="12">
        <f>3*40</f>
        <v>120</v>
      </c>
      <c r="C8" s="12">
        <f>3*40</f>
        <v>120</v>
      </c>
      <c r="D8" s="21">
        <f t="shared" ref="D8" si="1">6*40</f>
        <v>240</v>
      </c>
    </row>
    <row r="9" spans="1:8" outlineLevel="1" x14ac:dyDescent="0.35">
      <c r="A9" t="s">
        <v>12</v>
      </c>
      <c r="B9" s="12">
        <f>50+150</f>
        <v>200</v>
      </c>
      <c r="C9" s="12">
        <f t="shared" ref="C9:D9" si="2">50+150</f>
        <v>200</v>
      </c>
      <c r="D9" s="21">
        <f t="shared" si="2"/>
        <v>200</v>
      </c>
    </row>
    <row r="10" spans="1:8" outlineLevel="1" x14ac:dyDescent="0.35">
      <c r="A10" t="s">
        <v>13</v>
      </c>
      <c r="B10" s="12">
        <f>3*30</f>
        <v>90</v>
      </c>
      <c r="C10" s="12">
        <f t="shared" ref="C10:D10" si="3">3*30</f>
        <v>90</v>
      </c>
      <c r="D10" s="21">
        <f t="shared" si="3"/>
        <v>90</v>
      </c>
    </row>
    <row r="11" spans="1:8" outlineLevel="1" x14ac:dyDescent="0.35">
      <c r="A11" t="s">
        <v>26</v>
      </c>
      <c r="B11" s="12">
        <f>(2250+1200)/50</f>
        <v>69</v>
      </c>
      <c r="C11" s="12">
        <f>+B11*2</f>
        <v>138</v>
      </c>
      <c r="D11" s="21">
        <f>+B11*15</f>
        <v>1035</v>
      </c>
    </row>
    <row r="12" spans="1:8" outlineLevel="1" x14ac:dyDescent="0.35">
      <c r="A12" t="s">
        <v>10</v>
      </c>
      <c r="B12" s="12">
        <f>20</f>
        <v>20</v>
      </c>
      <c r="C12" s="12">
        <f>20</f>
        <v>20</v>
      </c>
      <c r="D12" s="21">
        <f>+C12*7</f>
        <v>140</v>
      </c>
    </row>
    <row r="13" spans="1:8" outlineLevel="1" x14ac:dyDescent="0.35">
      <c r="A13" t="s">
        <v>20</v>
      </c>
      <c r="B13" s="12">
        <f>2100/50</f>
        <v>42</v>
      </c>
      <c r="C13" s="12">
        <f>+B13*1.5</f>
        <v>63</v>
      </c>
      <c r="D13" s="21">
        <f>+B13*15</f>
        <v>630</v>
      </c>
    </row>
    <row r="14" spans="1:8" outlineLevel="1" x14ac:dyDescent="0.35">
      <c r="A14" t="s">
        <v>14</v>
      </c>
      <c r="B14" s="12">
        <f>150*2</f>
        <v>300</v>
      </c>
      <c r="C14" s="12">
        <f>+B14*2</f>
        <v>600</v>
      </c>
      <c r="D14" s="21">
        <f>+B14*15</f>
        <v>4500</v>
      </c>
    </row>
    <row r="16" spans="1:8" s="12" customFormat="1" x14ac:dyDescent="0.35">
      <c r="A16" s="16" t="s">
        <v>44</v>
      </c>
      <c r="B16" s="23">
        <f>SUM(B17:B23)</f>
        <v>520</v>
      </c>
      <c r="C16" s="23">
        <f>SUM(C17:C23)</f>
        <v>1775.8</v>
      </c>
      <c r="D16" s="24">
        <f>SUM(D17:D23)</f>
        <v>3710</v>
      </c>
      <c r="E16"/>
      <c r="F16"/>
      <c r="G16"/>
      <c r="H16"/>
    </row>
    <row r="17" spans="1:8" s="12" customFormat="1" x14ac:dyDescent="0.35">
      <c r="A17" t="s">
        <v>45</v>
      </c>
      <c r="B17" s="12">
        <f>100+20</f>
        <v>120</v>
      </c>
      <c r="C17" s="21">
        <f>((1200+600+500+300+750+1300+100+600)/50)+8</f>
        <v>115</v>
      </c>
      <c r="D17" s="21">
        <f>((9000+2600+900+1800)/50)+4</f>
        <v>290</v>
      </c>
      <c r="E17"/>
      <c r="F17"/>
      <c r="G17"/>
      <c r="H17"/>
    </row>
    <row r="18" spans="1:8" s="12" customFormat="1" x14ac:dyDescent="0.35">
      <c r="A18" t="s">
        <v>18</v>
      </c>
      <c r="B18" s="12">
        <v>20</v>
      </c>
      <c r="C18" s="12">
        <v>200</v>
      </c>
      <c r="D18" s="21">
        <f>+B18</f>
        <v>20</v>
      </c>
      <c r="E18"/>
      <c r="F18"/>
      <c r="G18"/>
      <c r="H18"/>
    </row>
    <row r="19" spans="1:8" s="12" customFormat="1" x14ac:dyDescent="0.35">
      <c r="A19" t="s">
        <v>46</v>
      </c>
      <c r="B19" s="12">
        <v>250</v>
      </c>
      <c r="C19" s="12">
        <f>400*3</f>
        <v>1200</v>
      </c>
      <c r="D19" s="21">
        <f>250*8</f>
        <v>2000</v>
      </c>
      <c r="E19"/>
      <c r="F19"/>
      <c r="G19"/>
      <c r="H19"/>
    </row>
    <row r="20" spans="1:8" s="12" customFormat="1" x14ac:dyDescent="0.35">
      <c r="A20" t="s">
        <v>17</v>
      </c>
      <c r="B20" s="12">
        <v>30</v>
      </c>
      <c r="C20" s="21">
        <f>((550+220+200+450+550+1100+750+450)/50)*2</f>
        <v>170.8</v>
      </c>
      <c r="D20" s="21">
        <f>+B20*15</f>
        <v>450</v>
      </c>
      <c r="E20"/>
      <c r="F20"/>
      <c r="G20"/>
      <c r="H20"/>
    </row>
    <row r="21" spans="1:8" s="12" customFormat="1" x14ac:dyDescent="0.35">
      <c r="A21" t="s">
        <v>10</v>
      </c>
      <c r="B21" s="12">
        <v>20</v>
      </c>
      <c r="C21" s="12">
        <v>20</v>
      </c>
      <c r="D21" s="21">
        <f>+B21*15</f>
        <v>300</v>
      </c>
      <c r="E21"/>
      <c r="F21"/>
      <c r="G21"/>
      <c r="H21"/>
    </row>
    <row r="22" spans="1:8" s="12" customFormat="1" x14ac:dyDescent="0.35">
      <c r="A22" t="s">
        <v>20</v>
      </c>
      <c r="B22" s="12">
        <v>30</v>
      </c>
      <c r="C22" s="12">
        <v>20</v>
      </c>
      <c r="D22" s="21">
        <f>+B22*15</f>
        <v>450</v>
      </c>
      <c r="E22"/>
      <c r="F22"/>
      <c r="G22"/>
      <c r="H22"/>
    </row>
    <row r="23" spans="1:8" s="12" customFormat="1" x14ac:dyDescent="0.35">
      <c r="A23" t="s">
        <v>32</v>
      </c>
      <c r="B23" s="12">
        <v>50</v>
      </c>
      <c r="C23" s="12">
        <v>50</v>
      </c>
      <c r="D23" s="21">
        <v>200</v>
      </c>
      <c r="E23"/>
      <c r="F23"/>
      <c r="G23"/>
      <c r="H23"/>
    </row>
    <row r="26" spans="1:8" s="12" customFormat="1" x14ac:dyDescent="0.35">
      <c r="A26" s="6" t="s">
        <v>21</v>
      </c>
      <c r="B26" s="15" t="e">
        <f>+B3+#REF!+B16</f>
        <v>#REF!</v>
      </c>
      <c r="C26" s="15">
        <f>+C16+C3</f>
        <v>3806.8</v>
      </c>
      <c r="D26" s="15" t="e">
        <f>+D3+#REF!+D16</f>
        <v>#REF!</v>
      </c>
      <c r="E26"/>
      <c r="F26"/>
    </row>
    <row r="27" spans="1:8" s="12" customFormat="1" x14ac:dyDescent="0.35">
      <c r="A27" s="6" t="s">
        <v>23</v>
      </c>
      <c r="B27" s="15" t="e">
        <f>+B26*1.3</f>
        <v>#REF!</v>
      </c>
      <c r="C27" s="15">
        <f>+C26*1.5</f>
        <v>5710.2000000000007</v>
      </c>
      <c r="D27" s="15" t="e">
        <f t="shared" ref="D27" si="4">+D26*1.3</f>
        <v>#REF!</v>
      </c>
      <c r="E27"/>
      <c r="F27"/>
    </row>
    <row r="28" spans="1:8" s="12" customFormat="1" x14ac:dyDescent="0.35">
      <c r="A28" s="1" t="s">
        <v>22</v>
      </c>
      <c r="B28" s="13" t="e">
        <f>(B27-B26)/B26</f>
        <v>#REF!</v>
      </c>
      <c r="C28" s="13">
        <f>(C27-C26)/C26</f>
        <v>0.50000000000000011</v>
      </c>
      <c r="D28" s="13" t="e">
        <f t="shared" ref="D28" si="5">(D27-D26)/D26</f>
        <v>#REF!</v>
      </c>
      <c r="E28"/>
      <c r="F28"/>
    </row>
    <row r="29" spans="1:8" s="12" customFormat="1" ht="15" thickBot="1" x14ac:dyDescent="0.4">
      <c r="A29" s="7" t="s">
        <v>28</v>
      </c>
      <c r="B29" s="14" t="e">
        <f>+B27-B26</f>
        <v>#REF!</v>
      </c>
      <c r="C29" s="14">
        <f>+C27-C26</f>
        <v>1903.4000000000005</v>
      </c>
      <c r="D29" s="14" t="e">
        <f t="shared" ref="D29" si="6">+D27-D26</f>
        <v>#REF!</v>
      </c>
      <c r="E29"/>
    </row>
    <row r="30" spans="1:8" s="12" customFormat="1" ht="15" thickTop="1" x14ac:dyDescent="0.35">
      <c r="A30"/>
      <c r="D30" s="21"/>
      <c r="E30"/>
    </row>
    <row r="31" spans="1:8" x14ac:dyDescent="0.35">
      <c r="A31" s="1" t="s">
        <v>40</v>
      </c>
      <c r="C31" s="12">
        <f>+C27/2</f>
        <v>2855.1000000000004</v>
      </c>
    </row>
    <row r="32" spans="1:8" x14ac:dyDescent="0.35">
      <c r="A32" s="1" t="s">
        <v>42</v>
      </c>
      <c r="C32" s="12">
        <f>+C31*0.9</f>
        <v>2569.5900000000006</v>
      </c>
      <c r="E32" s="12"/>
    </row>
    <row r="33" spans="1:6" x14ac:dyDescent="0.35">
      <c r="A33" s="1" t="s">
        <v>43</v>
      </c>
      <c r="C33" s="21">
        <f>+C31*0.8</f>
        <v>2284.0800000000004</v>
      </c>
      <c r="E33" s="12"/>
      <c r="F33" s="25"/>
    </row>
    <row r="34" spans="1:6" x14ac:dyDescent="0.35">
      <c r="A34" s="1" t="s">
        <v>41</v>
      </c>
      <c r="C34" s="12">
        <f>+C31*0.7</f>
        <v>1998.5700000000002</v>
      </c>
      <c r="E34" s="12"/>
    </row>
    <row r="35" spans="1:6" x14ac:dyDescent="0.35">
      <c r="E35" s="12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51AE-421E-4ABF-BD7B-96209FE12881}">
  <sheetPr>
    <tabColor rgb="FFFFFF00"/>
  </sheetPr>
  <dimension ref="A1"/>
  <sheetViews>
    <sheetView workbookViewId="0">
      <selection activeCell="J32" sqref="J3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AE6B-FBB2-469A-8756-BEEFF6838A3D}">
  <dimension ref="A1:H44"/>
  <sheetViews>
    <sheetView zoomScale="120" zoomScaleNormal="120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C40" sqref="C40"/>
    </sheetView>
  </sheetViews>
  <sheetFormatPr defaultRowHeight="14.5" outlineLevelRow="1" x14ac:dyDescent="0.35"/>
  <cols>
    <col min="1" max="1" width="35.81640625" bestFit="1" customWidth="1"/>
    <col min="2" max="3" width="12.54296875" style="12" customWidth="1"/>
    <col min="4" max="4" width="10.7265625" style="21" bestFit="1" customWidth="1"/>
    <col min="5" max="5" width="15.26953125" style="12" bestFit="1" customWidth="1"/>
    <col min="6" max="6" width="9.36328125" bestFit="1" customWidth="1"/>
    <col min="7" max="7" width="8" bestFit="1" customWidth="1"/>
    <col min="8" max="8" width="11" bestFit="1" customWidth="1"/>
    <col min="9" max="9" width="9.36328125" bestFit="1" customWidth="1"/>
    <col min="10" max="10" width="11.1796875" customWidth="1"/>
    <col min="11" max="11" width="13.6328125" bestFit="1" customWidth="1"/>
    <col min="15" max="15" width="8.26953125" customWidth="1"/>
  </cols>
  <sheetData>
    <row r="1" spans="1:8" ht="29" x14ac:dyDescent="0.35">
      <c r="A1" s="4" t="s">
        <v>0</v>
      </c>
      <c r="B1" s="8" t="s">
        <v>2</v>
      </c>
      <c r="C1" s="9" t="s">
        <v>3</v>
      </c>
      <c r="D1" s="19" t="s">
        <v>5</v>
      </c>
      <c r="E1" s="9" t="s">
        <v>6</v>
      </c>
    </row>
    <row r="2" spans="1:8" x14ac:dyDescent="0.35">
      <c r="A2" s="1"/>
      <c r="B2" s="10"/>
      <c r="C2" s="11"/>
      <c r="D2" s="20"/>
      <c r="E2" s="11"/>
    </row>
    <row r="3" spans="1:8" ht="15.5" customHeight="1" x14ac:dyDescent="0.35">
      <c r="A3" s="3" t="s">
        <v>25</v>
      </c>
      <c r="B3" s="23">
        <f>SUM(B4:B14)</f>
        <v>1616</v>
      </c>
      <c r="C3" s="23">
        <f>SUM(C4:C14)</f>
        <v>2031</v>
      </c>
      <c r="D3" s="24">
        <f>SUM(D4:D14)</f>
        <v>12276</v>
      </c>
      <c r="E3" s="11"/>
    </row>
    <row r="4" spans="1:8" outlineLevel="1" x14ac:dyDescent="0.35">
      <c r="A4" t="s">
        <v>7</v>
      </c>
      <c r="B4" s="12">
        <f>(10*3)</f>
        <v>30</v>
      </c>
      <c r="C4" s="12">
        <f>(10*3)</f>
        <v>30</v>
      </c>
      <c r="D4" s="21">
        <f t="shared" ref="D4:E4" si="0">(10*3)</f>
        <v>30</v>
      </c>
      <c r="E4" s="12">
        <f t="shared" si="0"/>
        <v>30</v>
      </c>
    </row>
    <row r="5" spans="1:8" outlineLevel="1" x14ac:dyDescent="0.35">
      <c r="A5" t="s">
        <v>8</v>
      </c>
      <c r="B5" s="12">
        <v>25</v>
      </c>
      <c r="C5" s="12">
        <f>+B5*2</f>
        <v>50</v>
      </c>
      <c r="D5" s="21">
        <f>+B5*15</f>
        <v>375</v>
      </c>
      <c r="E5" s="12">
        <f>+B5*16</f>
        <v>400</v>
      </c>
    </row>
    <row r="6" spans="1:8" outlineLevel="1" x14ac:dyDescent="0.35">
      <c r="A6" t="s">
        <v>24</v>
      </c>
      <c r="B6" s="12">
        <f>30*4</f>
        <v>120</v>
      </c>
      <c r="C6" s="12">
        <f>30*4</f>
        <v>120</v>
      </c>
      <c r="D6" s="21">
        <f>(2800+9000)/50</f>
        <v>236</v>
      </c>
    </row>
    <row r="7" spans="1:8" outlineLevel="1" x14ac:dyDescent="0.35">
      <c r="A7" t="s">
        <v>19</v>
      </c>
      <c r="B7" s="12">
        <f>200*3</f>
        <v>600</v>
      </c>
      <c r="C7" s="12">
        <f>200*3</f>
        <v>600</v>
      </c>
      <c r="D7" s="12">
        <f>(200*8)*3</f>
        <v>4800</v>
      </c>
    </row>
    <row r="8" spans="1:8" outlineLevel="1" x14ac:dyDescent="0.35">
      <c r="A8" t="s">
        <v>18</v>
      </c>
      <c r="B8" s="12">
        <f>3*40</f>
        <v>120</v>
      </c>
      <c r="C8" s="12">
        <f>3*40</f>
        <v>120</v>
      </c>
      <c r="D8" s="21">
        <f t="shared" ref="D8:E8" si="1">6*40</f>
        <v>240</v>
      </c>
      <c r="E8" s="12">
        <f t="shared" si="1"/>
        <v>240</v>
      </c>
    </row>
    <row r="9" spans="1:8" outlineLevel="1" x14ac:dyDescent="0.35">
      <c r="A9" t="s">
        <v>12</v>
      </c>
      <c r="B9" s="12">
        <f>50+150</f>
        <v>200</v>
      </c>
      <c r="C9" s="12">
        <f t="shared" ref="C9:E9" si="2">50+150</f>
        <v>200</v>
      </c>
      <c r="D9" s="21">
        <f t="shared" si="2"/>
        <v>200</v>
      </c>
      <c r="E9" s="12">
        <f t="shared" si="2"/>
        <v>200</v>
      </c>
    </row>
    <row r="10" spans="1:8" outlineLevel="1" x14ac:dyDescent="0.35">
      <c r="A10" t="s">
        <v>13</v>
      </c>
      <c r="B10" s="12">
        <f>3*30</f>
        <v>90</v>
      </c>
      <c r="C10" s="12">
        <f t="shared" ref="C10:E10" si="3">3*30</f>
        <v>90</v>
      </c>
      <c r="D10" s="21">
        <f t="shared" si="3"/>
        <v>90</v>
      </c>
      <c r="E10" s="12">
        <f t="shared" si="3"/>
        <v>90</v>
      </c>
    </row>
    <row r="11" spans="1:8" outlineLevel="1" x14ac:dyDescent="0.35">
      <c r="A11" t="s">
        <v>26</v>
      </c>
      <c r="B11" s="12">
        <f>(2250+1200)/50</f>
        <v>69</v>
      </c>
      <c r="C11" s="12">
        <f>+B11*2</f>
        <v>138</v>
      </c>
      <c r="D11" s="21">
        <f>+B11*15</f>
        <v>1035</v>
      </c>
      <c r="E11" s="12">
        <f>+B11*25</f>
        <v>1725</v>
      </c>
      <c r="H11">
        <f>+B11*4</f>
        <v>276</v>
      </c>
    </row>
    <row r="12" spans="1:8" outlineLevel="1" x14ac:dyDescent="0.35">
      <c r="A12" t="s">
        <v>10</v>
      </c>
      <c r="B12" s="12">
        <f>20</f>
        <v>20</v>
      </c>
      <c r="C12" s="12">
        <f>20</f>
        <v>20</v>
      </c>
      <c r="D12" s="21">
        <f>+C12*7</f>
        <v>140</v>
      </c>
    </row>
    <row r="13" spans="1:8" outlineLevel="1" x14ac:dyDescent="0.35">
      <c r="A13" t="s">
        <v>20</v>
      </c>
      <c r="B13" s="12">
        <f>2100/50</f>
        <v>42</v>
      </c>
      <c r="C13" s="12">
        <f>+B13*1.5</f>
        <v>63</v>
      </c>
      <c r="D13" s="21">
        <f>+B13*15</f>
        <v>630</v>
      </c>
    </row>
    <row r="14" spans="1:8" outlineLevel="1" x14ac:dyDescent="0.35">
      <c r="A14" t="s">
        <v>14</v>
      </c>
      <c r="B14" s="12">
        <f>150*2</f>
        <v>300</v>
      </c>
      <c r="C14" s="12">
        <f>+B14*2</f>
        <v>600</v>
      </c>
      <c r="D14" s="21">
        <f>+B14*15</f>
        <v>4500</v>
      </c>
    </row>
    <row r="16" spans="1:8" x14ac:dyDescent="0.35">
      <c r="A16" s="3" t="s">
        <v>29</v>
      </c>
      <c r="B16" s="23">
        <f>SUM(B17:B23)</f>
        <v>588</v>
      </c>
      <c r="C16" s="23">
        <f>SUM(C17:C23)</f>
        <v>667</v>
      </c>
      <c r="D16" s="24">
        <f>SUM(D17:D23)</f>
        <v>4560</v>
      </c>
    </row>
    <row r="17" spans="1:4" x14ac:dyDescent="0.35">
      <c r="A17" t="s">
        <v>16</v>
      </c>
      <c r="B17" s="12">
        <v>80</v>
      </c>
      <c r="C17" s="12">
        <v>80</v>
      </c>
      <c r="D17" s="21">
        <f>(2000+2000+4000)/50</f>
        <v>160</v>
      </c>
    </row>
    <row r="18" spans="1:4" x14ac:dyDescent="0.35">
      <c r="A18" t="s">
        <v>20</v>
      </c>
      <c r="B18" s="12">
        <f>(350*4)/50</f>
        <v>28</v>
      </c>
      <c r="C18" s="12">
        <f>+B18*1.5</f>
        <v>42</v>
      </c>
      <c r="D18" s="21">
        <f>+B18*15</f>
        <v>420</v>
      </c>
    </row>
    <row r="19" spans="1:4" x14ac:dyDescent="0.35">
      <c r="A19" t="s">
        <v>9</v>
      </c>
      <c r="B19" s="12">
        <f>150*2</f>
        <v>300</v>
      </c>
      <c r="C19" s="12">
        <f>150*2</f>
        <v>300</v>
      </c>
      <c r="D19" s="21">
        <f>(150*8)*2</f>
        <v>2400</v>
      </c>
    </row>
    <row r="20" spans="1:4" x14ac:dyDescent="0.35">
      <c r="A20" t="s">
        <v>18</v>
      </c>
      <c r="B20" s="12">
        <f>2*40</f>
        <v>80</v>
      </c>
      <c r="C20" s="12">
        <f>2*40</f>
        <v>80</v>
      </c>
      <c r="D20" s="21">
        <f>+B20</f>
        <v>80</v>
      </c>
    </row>
    <row r="21" spans="1:4" x14ac:dyDescent="0.35">
      <c r="A21" t="s">
        <v>17</v>
      </c>
      <c r="B21" s="12">
        <v>50</v>
      </c>
      <c r="C21" s="12">
        <f>+B21*2</f>
        <v>100</v>
      </c>
      <c r="D21" s="21">
        <f>+B21*15</f>
        <v>750</v>
      </c>
    </row>
    <row r="22" spans="1:4" x14ac:dyDescent="0.35">
      <c r="A22" t="s">
        <v>10</v>
      </c>
      <c r="B22" s="12">
        <v>20</v>
      </c>
      <c r="C22" s="12">
        <v>20</v>
      </c>
      <c r="D22" s="21">
        <f>+B22*15</f>
        <v>300</v>
      </c>
    </row>
    <row r="23" spans="1:4" x14ac:dyDescent="0.35">
      <c r="A23" t="s">
        <v>20</v>
      </c>
      <c r="B23" s="12">
        <v>30</v>
      </c>
      <c r="C23" s="12">
        <f>+B23*1.5</f>
        <v>45</v>
      </c>
      <c r="D23" s="21">
        <f>+B23*15</f>
        <v>450</v>
      </c>
    </row>
    <row r="25" spans="1:4" x14ac:dyDescent="0.35">
      <c r="A25" s="16" t="s">
        <v>30</v>
      </c>
      <c r="B25" s="23">
        <f>SUM(B26:B32)</f>
        <v>520</v>
      </c>
      <c r="C25" s="23">
        <f>SUM(C26:C32)</f>
        <v>565</v>
      </c>
      <c r="D25" s="24">
        <f>SUM(D26:D32)</f>
        <v>3710</v>
      </c>
    </row>
    <row r="26" spans="1:4" x14ac:dyDescent="0.35">
      <c r="A26" t="s">
        <v>31</v>
      </c>
      <c r="B26" s="12">
        <f>100+20</f>
        <v>120</v>
      </c>
      <c r="C26" s="12">
        <f>100+20</f>
        <v>120</v>
      </c>
      <c r="D26" s="21">
        <f>((9000+2600+900+1800)/50)+4</f>
        <v>290</v>
      </c>
    </row>
    <row r="27" spans="1:4" x14ac:dyDescent="0.35">
      <c r="A27" t="s">
        <v>18</v>
      </c>
      <c r="B27" s="12">
        <v>20</v>
      </c>
      <c r="C27" s="12">
        <v>20</v>
      </c>
      <c r="D27" s="21">
        <f>+B27</f>
        <v>20</v>
      </c>
    </row>
    <row r="28" spans="1:4" x14ac:dyDescent="0.35">
      <c r="A28" t="s">
        <v>19</v>
      </c>
      <c r="B28" s="12">
        <v>250</v>
      </c>
      <c r="C28" s="12">
        <v>250</v>
      </c>
      <c r="D28" s="21">
        <f>250*8</f>
        <v>2000</v>
      </c>
    </row>
    <row r="29" spans="1:4" x14ac:dyDescent="0.35">
      <c r="A29" t="s">
        <v>17</v>
      </c>
      <c r="B29" s="12">
        <v>30</v>
      </c>
      <c r="C29" s="12">
        <f>30*2</f>
        <v>60</v>
      </c>
      <c r="D29" s="21">
        <f>+B29*15</f>
        <v>450</v>
      </c>
    </row>
    <row r="30" spans="1:4" x14ac:dyDescent="0.35">
      <c r="A30" t="s">
        <v>10</v>
      </c>
      <c r="B30" s="12">
        <v>20</v>
      </c>
      <c r="C30" s="12">
        <v>20</v>
      </c>
      <c r="D30" s="21">
        <f>+B30*15</f>
        <v>300</v>
      </c>
    </row>
    <row r="31" spans="1:4" x14ac:dyDescent="0.35">
      <c r="A31" t="s">
        <v>20</v>
      </c>
      <c r="B31" s="12">
        <v>30</v>
      </c>
      <c r="C31" s="12">
        <v>45</v>
      </c>
      <c r="D31" s="21">
        <f>+B31*15</f>
        <v>450</v>
      </c>
    </row>
    <row r="32" spans="1:4" x14ac:dyDescent="0.35">
      <c r="A32" t="s">
        <v>32</v>
      </c>
      <c r="B32" s="12">
        <v>50</v>
      </c>
      <c r="C32" s="12">
        <v>50</v>
      </c>
      <c r="D32" s="21">
        <v>200</v>
      </c>
    </row>
    <row r="35" spans="1:8" s="12" customFormat="1" x14ac:dyDescent="0.35">
      <c r="A35" s="6" t="s">
        <v>21</v>
      </c>
      <c r="B35" s="15">
        <f>+B3+B16+B25</f>
        <v>2724</v>
      </c>
      <c r="C35" s="15">
        <f>+C3+C16+C25</f>
        <v>3263</v>
      </c>
      <c r="D35" s="15">
        <f t="shared" ref="D35" si="4">+D3+D16+D25</f>
        <v>20546</v>
      </c>
      <c r="F35"/>
      <c r="G35"/>
      <c r="H35"/>
    </row>
    <row r="36" spans="1:8" s="12" customFormat="1" x14ac:dyDescent="0.35">
      <c r="A36" s="6" t="s">
        <v>23</v>
      </c>
      <c r="B36" s="15">
        <f>+B35*1.3</f>
        <v>3541.2000000000003</v>
      </c>
      <c r="C36" s="15">
        <f>+C35*1.5</f>
        <v>4894.5</v>
      </c>
      <c r="D36" s="15">
        <f t="shared" ref="D36" si="5">+D35*1.3</f>
        <v>26709.8</v>
      </c>
      <c r="F36"/>
      <c r="G36"/>
      <c r="H36"/>
    </row>
    <row r="37" spans="1:8" s="12" customFormat="1" x14ac:dyDescent="0.35">
      <c r="A37" s="1" t="s">
        <v>22</v>
      </c>
      <c r="B37" s="13">
        <f>(B36-B35)/B35</f>
        <v>0.3000000000000001</v>
      </c>
      <c r="C37" s="13">
        <f>(C36-C35)/C35</f>
        <v>0.5</v>
      </c>
      <c r="D37" s="13">
        <f t="shared" ref="D37" si="6">(D36-D35)/D35</f>
        <v>0.3</v>
      </c>
      <c r="F37"/>
      <c r="G37"/>
      <c r="H37"/>
    </row>
    <row r="38" spans="1:8" s="12" customFormat="1" ht="15" thickBot="1" x14ac:dyDescent="0.4">
      <c r="A38" s="7" t="s">
        <v>28</v>
      </c>
      <c r="B38" s="14">
        <f>+B36-B35</f>
        <v>817.20000000000027</v>
      </c>
      <c r="C38" s="14">
        <f>+C36-C35</f>
        <v>1631.5</v>
      </c>
      <c r="D38" s="14">
        <f t="shared" ref="D38" si="7">+D36-D35</f>
        <v>6163.7999999999993</v>
      </c>
      <c r="F38"/>
      <c r="H38"/>
    </row>
    <row r="39" spans="1:8" s="12" customFormat="1" ht="15" thickTop="1" x14ac:dyDescent="0.35">
      <c r="A39"/>
      <c r="D39" s="21"/>
      <c r="F39"/>
      <c r="H39"/>
    </row>
    <row r="40" spans="1:8" x14ac:dyDescent="0.35">
      <c r="A40" s="1" t="s">
        <v>40</v>
      </c>
      <c r="C40" s="12">
        <f>+C36/2</f>
        <v>2447.25</v>
      </c>
      <c r="E40" s="21"/>
    </row>
    <row r="41" spans="1:8" x14ac:dyDescent="0.35">
      <c r="A41" s="1" t="s">
        <v>42</v>
      </c>
      <c r="C41" s="12">
        <f>+C40*0.9</f>
        <v>2202.5250000000001</v>
      </c>
      <c r="F41" s="12"/>
      <c r="H41" s="12"/>
    </row>
    <row r="42" spans="1:8" x14ac:dyDescent="0.35">
      <c r="A42" s="1" t="s">
        <v>43</v>
      </c>
      <c r="C42" s="21">
        <f>+C40*0.8</f>
        <v>1957.8000000000002</v>
      </c>
      <c r="F42" s="12"/>
      <c r="G42" s="25"/>
      <c r="H42" s="12"/>
    </row>
    <row r="43" spans="1:8" x14ac:dyDescent="0.35">
      <c r="A43" s="1" t="s">
        <v>41</v>
      </c>
      <c r="C43" s="12">
        <f>+C40*0.7</f>
        <v>1713.0749999999998</v>
      </c>
      <c r="F43" s="12"/>
      <c r="H43" s="12"/>
    </row>
    <row r="44" spans="1:8" x14ac:dyDescent="0.35">
      <c r="F44" s="12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3C8D-CB7F-4863-9306-78B36B66F4E2}">
  <dimension ref="A1:E35"/>
  <sheetViews>
    <sheetView zoomScale="120" zoomScaleNormal="12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defaultRowHeight="14.5" outlineLevelRow="1" x14ac:dyDescent="0.35"/>
  <cols>
    <col min="1" max="1" width="35.81640625" bestFit="1" customWidth="1"/>
    <col min="2" max="3" width="12.54296875" style="12" customWidth="1"/>
    <col min="4" max="4" width="8" bestFit="1" customWidth="1"/>
    <col min="5" max="5" width="11" bestFit="1" customWidth="1"/>
    <col min="6" max="6" width="9.36328125" bestFit="1" customWidth="1"/>
    <col min="7" max="7" width="11.1796875" customWidth="1"/>
    <col min="8" max="8" width="13.6328125" bestFit="1" customWidth="1"/>
    <col min="12" max="12" width="8.26953125" customWidth="1"/>
  </cols>
  <sheetData>
    <row r="1" spans="1:3" x14ac:dyDescent="0.35">
      <c r="A1" s="4" t="s">
        <v>0</v>
      </c>
      <c r="B1" s="8" t="s">
        <v>2</v>
      </c>
      <c r="C1" s="9" t="s">
        <v>3</v>
      </c>
    </row>
    <row r="2" spans="1:3" x14ac:dyDescent="0.35">
      <c r="A2" s="1"/>
      <c r="B2" s="10"/>
      <c r="C2" s="11"/>
    </row>
    <row r="3" spans="1:3" ht="15.5" customHeight="1" x14ac:dyDescent="0.35">
      <c r="A3" s="3" t="s">
        <v>25</v>
      </c>
      <c r="B3" s="23">
        <f>SUM(B4:B14)</f>
        <v>1616</v>
      </c>
      <c r="C3" s="23">
        <f>SUM(C4:C14)</f>
        <v>2031</v>
      </c>
    </row>
    <row r="4" spans="1:3" outlineLevel="1" x14ac:dyDescent="0.35">
      <c r="A4" t="s">
        <v>7</v>
      </c>
      <c r="B4" s="12">
        <f>(10*3)</f>
        <v>30</v>
      </c>
      <c r="C4" s="12">
        <f>(10*3)</f>
        <v>30</v>
      </c>
    </row>
    <row r="5" spans="1:3" outlineLevel="1" x14ac:dyDescent="0.35">
      <c r="A5" t="s">
        <v>8</v>
      </c>
      <c r="B5" s="12">
        <v>25</v>
      </c>
      <c r="C5" s="12">
        <f>+B5*2</f>
        <v>50</v>
      </c>
    </row>
    <row r="6" spans="1:3" outlineLevel="1" x14ac:dyDescent="0.35">
      <c r="A6" t="s">
        <v>24</v>
      </c>
      <c r="B6" s="12">
        <f>30*4</f>
        <v>120</v>
      </c>
      <c r="C6" s="12">
        <f>30*4</f>
        <v>120</v>
      </c>
    </row>
    <row r="7" spans="1:3" outlineLevel="1" x14ac:dyDescent="0.35">
      <c r="A7" t="s">
        <v>19</v>
      </c>
      <c r="B7" s="12">
        <f>200*3</f>
        <v>600</v>
      </c>
      <c r="C7" s="12">
        <f>200*3</f>
        <v>600</v>
      </c>
    </row>
    <row r="8" spans="1:3" outlineLevel="1" x14ac:dyDescent="0.35">
      <c r="A8" t="s">
        <v>18</v>
      </c>
      <c r="B8" s="12">
        <f>3*40</f>
        <v>120</v>
      </c>
      <c r="C8" s="12">
        <f>3*40</f>
        <v>120</v>
      </c>
    </row>
    <row r="9" spans="1:3" outlineLevel="1" x14ac:dyDescent="0.35">
      <c r="A9" t="s">
        <v>12</v>
      </c>
      <c r="B9" s="12">
        <f>50+150</f>
        <v>200</v>
      </c>
      <c r="C9" s="12">
        <f t="shared" ref="C9" si="0">50+150</f>
        <v>200</v>
      </c>
    </row>
    <row r="10" spans="1:3" outlineLevel="1" x14ac:dyDescent="0.35">
      <c r="A10" t="s">
        <v>13</v>
      </c>
      <c r="B10" s="12">
        <f>3*30</f>
        <v>90</v>
      </c>
      <c r="C10" s="12">
        <f t="shared" ref="C10" si="1">3*30</f>
        <v>90</v>
      </c>
    </row>
    <row r="11" spans="1:3" outlineLevel="1" x14ac:dyDescent="0.35">
      <c r="A11" t="s">
        <v>26</v>
      </c>
      <c r="B11" s="12">
        <f>(2250+1200)/50</f>
        <v>69</v>
      </c>
      <c r="C11" s="12">
        <f>+B11*2</f>
        <v>138</v>
      </c>
    </row>
    <row r="12" spans="1:3" outlineLevel="1" x14ac:dyDescent="0.35">
      <c r="A12" t="s">
        <v>10</v>
      </c>
      <c r="B12" s="12">
        <f>20</f>
        <v>20</v>
      </c>
      <c r="C12" s="12">
        <f>20</f>
        <v>20</v>
      </c>
    </row>
    <row r="13" spans="1:3" outlineLevel="1" x14ac:dyDescent="0.35">
      <c r="A13" t="s">
        <v>20</v>
      </c>
      <c r="B13" s="12">
        <f>2100/50</f>
        <v>42</v>
      </c>
      <c r="C13" s="12">
        <f>+B13*1.5</f>
        <v>63</v>
      </c>
    </row>
    <row r="14" spans="1:3" outlineLevel="1" x14ac:dyDescent="0.35">
      <c r="A14" t="s">
        <v>14</v>
      </c>
      <c r="B14" s="12">
        <f>150*2</f>
        <v>300</v>
      </c>
      <c r="C14" s="12">
        <f>+B14*2</f>
        <v>600</v>
      </c>
    </row>
    <row r="16" spans="1:3" x14ac:dyDescent="0.35">
      <c r="A16" s="3" t="s">
        <v>29</v>
      </c>
      <c r="B16" s="23">
        <f>SUM(B17:B23)</f>
        <v>588</v>
      </c>
      <c r="C16" s="23">
        <f>SUM(C17:C23)</f>
        <v>667</v>
      </c>
    </row>
    <row r="17" spans="1:5" x14ac:dyDescent="0.35">
      <c r="A17" t="s">
        <v>16</v>
      </c>
      <c r="B17" s="12">
        <v>80</v>
      </c>
      <c r="C17" s="12">
        <v>80</v>
      </c>
    </row>
    <row r="18" spans="1:5" x14ac:dyDescent="0.35">
      <c r="A18" t="s">
        <v>20</v>
      </c>
      <c r="B18" s="12">
        <f>(350*4)/50</f>
        <v>28</v>
      </c>
      <c r="C18" s="12">
        <f>+B18*1.5</f>
        <v>42</v>
      </c>
    </row>
    <row r="19" spans="1:5" x14ac:dyDescent="0.35">
      <c r="A19" t="s">
        <v>9</v>
      </c>
      <c r="B19" s="12">
        <f>150*2</f>
        <v>300</v>
      </c>
      <c r="C19" s="12">
        <f>150*2</f>
        <v>300</v>
      </c>
    </row>
    <row r="20" spans="1:5" x14ac:dyDescent="0.35">
      <c r="A20" t="s">
        <v>18</v>
      </c>
      <c r="B20" s="12">
        <f>2*40</f>
        <v>80</v>
      </c>
      <c r="C20" s="12">
        <f>2*40</f>
        <v>80</v>
      </c>
    </row>
    <row r="21" spans="1:5" x14ac:dyDescent="0.35">
      <c r="A21" t="s">
        <v>17</v>
      </c>
      <c r="B21" s="12">
        <v>50</v>
      </c>
      <c r="C21" s="12">
        <f>+B21*2</f>
        <v>100</v>
      </c>
    </row>
    <row r="22" spans="1:5" x14ac:dyDescent="0.35">
      <c r="A22" t="s">
        <v>10</v>
      </c>
      <c r="B22" s="12">
        <v>20</v>
      </c>
      <c r="C22" s="12">
        <v>20</v>
      </c>
    </row>
    <row r="23" spans="1:5" x14ac:dyDescent="0.35">
      <c r="A23" t="s">
        <v>20</v>
      </c>
      <c r="B23" s="12">
        <v>30</v>
      </c>
      <c r="C23" s="12">
        <f>+B23*1.5</f>
        <v>45</v>
      </c>
    </row>
    <row r="27" spans="1:5" s="12" customFormat="1" x14ac:dyDescent="0.35">
      <c r="A27" s="6" t="s">
        <v>21</v>
      </c>
      <c r="B27" s="15">
        <f>+B3+B16</f>
        <v>2204</v>
      </c>
      <c r="C27" s="15">
        <f t="shared" ref="C27" si="2">+C3+C16</f>
        <v>2698</v>
      </c>
      <c r="D27"/>
      <c r="E27"/>
    </row>
    <row r="28" spans="1:5" s="12" customFormat="1" x14ac:dyDescent="0.35">
      <c r="A28" s="6" t="s">
        <v>23</v>
      </c>
      <c r="B28" s="15">
        <f>+B27*1.3</f>
        <v>2865.2000000000003</v>
      </c>
      <c r="C28" s="15">
        <f>+C27*1.5</f>
        <v>4047</v>
      </c>
      <c r="D28"/>
      <c r="E28"/>
    </row>
    <row r="29" spans="1:5" s="12" customFormat="1" x14ac:dyDescent="0.35">
      <c r="A29" s="1" t="s">
        <v>22</v>
      </c>
      <c r="B29" s="13">
        <f>(B28-B27)/B27</f>
        <v>0.3000000000000001</v>
      </c>
      <c r="C29" s="13">
        <f>(C28-C27)/C27</f>
        <v>0.5</v>
      </c>
      <c r="D29"/>
      <c r="E29"/>
    </row>
    <row r="30" spans="1:5" s="12" customFormat="1" ht="15" thickBot="1" x14ac:dyDescent="0.4">
      <c r="A30" s="7" t="s">
        <v>28</v>
      </c>
      <c r="B30" s="14">
        <f>+B28-B27</f>
        <v>661.20000000000027</v>
      </c>
      <c r="C30" s="14">
        <f>+C28-C27</f>
        <v>1349</v>
      </c>
      <c r="E30"/>
    </row>
    <row r="31" spans="1:5" s="12" customFormat="1" ht="15" thickTop="1" x14ac:dyDescent="0.35">
      <c r="A31"/>
      <c r="E31"/>
    </row>
    <row r="32" spans="1:5" x14ac:dyDescent="0.35">
      <c r="A32" s="1" t="s">
        <v>40</v>
      </c>
      <c r="C32" s="12">
        <f>+C28/2</f>
        <v>2023.5</v>
      </c>
    </row>
    <row r="33" spans="1:3" x14ac:dyDescent="0.35">
      <c r="A33" s="1" t="s">
        <v>42</v>
      </c>
      <c r="C33" s="12">
        <f>+C32*0.9</f>
        <v>1821.15</v>
      </c>
    </row>
    <row r="34" spans="1:3" x14ac:dyDescent="0.35">
      <c r="A34" s="1" t="s">
        <v>43</v>
      </c>
      <c r="C34" s="21">
        <f>+C32*0.8</f>
        <v>1618.8000000000002</v>
      </c>
    </row>
    <row r="35" spans="1:3" x14ac:dyDescent="0.35">
      <c r="A35" s="1" t="s">
        <v>41</v>
      </c>
      <c r="C35" s="12">
        <f>+C32*0.7</f>
        <v>1416.4499999999998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9799-AE3F-4405-ABD9-2725BB94568F}">
  <dimension ref="A1:M49"/>
  <sheetViews>
    <sheetView zoomScale="120" zoomScaleNormal="120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K44" sqref="K44"/>
    </sheetView>
  </sheetViews>
  <sheetFormatPr defaultRowHeight="14.5" outlineLevelRow="1" x14ac:dyDescent="0.35"/>
  <cols>
    <col min="1" max="1" width="35.81640625" bestFit="1" customWidth="1"/>
    <col min="2" max="2" width="4.453125" customWidth="1"/>
    <col min="3" max="3" width="6.36328125" bestFit="1" customWidth="1"/>
    <col min="4" max="5" width="12.54296875" style="12" customWidth="1"/>
    <col min="6" max="6" width="11.81640625" style="12" customWidth="1"/>
    <col min="7" max="7" width="10.7265625" style="21" bestFit="1" customWidth="1"/>
    <col min="8" max="8" width="15.26953125" style="12" bestFit="1" customWidth="1"/>
    <col min="9" max="9" width="9.36328125" bestFit="1" customWidth="1"/>
    <col min="10" max="10" width="8" bestFit="1" customWidth="1"/>
    <col min="11" max="11" width="11" bestFit="1" customWidth="1"/>
    <col min="12" max="12" width="9.36328125" bestFit="1" customWidth="1"/>
    <col min="13" max="13" width="11.1796875" customWidth="1"/>
    <col min="14" max="14" width="13.6328125" bestFit="1" customWidth="1"/>
    <col min="18" max="18" width="8.26953125" customWidth="1"/>
  </cols>
  <sheetData>
    <row r="1" spans="1:11" ht="29" x14ac:dyDescent="0.35">
      <c r="A1" s="4" t="s">
        <v>0</v>
      </c>
      <c r="B1" s="4" t="s">
        <v>1</v>
      </c>
      <c r="C1" s="5" t="s">
        <v>11</v>
      </c>
      <c r="D1" s="8" t="s">
        <v>2</v>
      </c>
      <c r="E1" s="9" t="s">
        <v>3</v>
      </c>
      <c r="F1" s="9" t="s">
        <v>4</v>
      </c>
      <c r="G1" s="19" t="s">
        <v>5</v>
      </c>
      <c r="H1" s="9" t="s">
        <v>6</v>
      </c>
    </row>
    <row r="2" spans="1:11" x14ac:dyDescent="0.35">
      <c r="A2" s="1"/>
      <c r="B2" s="1"/>
      <c r="C2" s="2"/>
      <c r="D2" s="10"/>
      <c r="E2" s="11"/>
      <c r="F2" s="11"/>
      <c r="G2" s="20"/>
      <c r="H2" s="11"/>
    </row>
    <row r="3" spans="1:11" ht="15.5" customHeight="1" x14ac:dyDescent="0.35">
      <c r="A3" s="3" t="s">
        <v>25</v>
      </c>
      <c r="B3" s="16"/>
      <c r="C3" s="16"/>
      <c r="D3" s="23">
        <f>SUM(D4:D14)</f>
        <v>1616</v>
      </c>
      <c r="E3" s="23">
        <f>SUM(E4:E14)</f>
        <v>2031</v>
      </c>
      <c r="F3" s="23">
        <f>SUM(F4:F14)</f>
        <v>1218</v>
      </c>
      <c r="G3" s="24">
        <f>SUM(G4:G14)</f>
        <v>12276</v>
      </c>
      <c r="H3" s="11"/>
    </row>
    <row r="4" spans="1:11" outlineLevel="1" x14ac:dyDescent="0.35">
      <c r="A4" t="s">
        <v>7</v>
      </c>
      <c r="D4" s="12">
        <f>(10*3)</f>
        <v>30</v>
      </c>
      <c r="E4" s="12">
        <f>(10*3)</f>
        <v>30</v>
      </c>
      <c r="F4" s="12">
        <f t="shared" ref="F4:H4" si="0">(10*3)</f>
        <v>30</v>
      </c>
      <c r="G4" s="21">
        <f t="shared" si="0"/>
        <v>30</v>
      </c>
      <c r="H4" s="12">
        <f t="shared" si="0"/>
        <v>30</v>
      </c>
    </row>
    <row r="5" spans="1:11" outlineLevel="1" x14ac:dyDescent="0.35">
      <c r="A5" t="s">
        <v>8</v>
      </c>
      <c r="D5" s="12">
        <v>25</v>
      </c>
      <c r="E5" s="12">
        <f>+D5*2</f>
        <v>50</v>
      </c>
      <c r="F5" s="12">
        <f>+D5*7</f>
        <v>175</v>
      </c>
      <c r="G5" s="21">
        <f>+D5*15</f>
        <v>375</v>
      </c>
      <c r="H5" s="12">
        <f>+D5*16</f>
        <v>400</v>
      </c>
    </row>
    <row r="6" spans="1:11" outlineLevel="1" x14ac:dyDescent="0.35">
      <c r="A6" t="s">
        <v>24</v>
      </c>
      <c r="D6" s="12">
        <f>30*4</f>
        <v>120</v>
      </c>
      <c r="E6" s="12">
        <f>30*4</f>
        <v>120</v>
      </c>
      <c r="G6" s="21">
        <f>(2800+9000)/50</f>
        <v>236</v>
      </c>
    </row>
    <row r="7" spans="1:11" outlineLevel="1" x14ac:dyDescent="0.35">
      <c r="A7" t="s">
        <v>19</v>
      </c>
      <c r="D7" s="12">
        <f>200*3</f>
        <v>600</v>
      </c>
      <c r="E7" s="12">
        <f>200*3</f>
        <v>600</v>
      </c>
      <c r="G7" s="12">
        <f>(200*8)*3</f>
        <v>4800</v>
      </c>
    </row>
    <row r="8" spans="1:11" outlineLevel="1" x14ac:dyDescent="0.35">
      <c r="A8" t="s">
        <v>18</v>
      </c>
      <c r="D8" s="12">
        <f>3*40</f>
        <v>120</v>
      </c>
      <c r="E8" s="12">
        <f>3*40</f>
        <v>120</v>
      </c>
      <c r="F8" s="12">
        <f t="shared" ref="F8:H8" si="1">6*40</f>
        <v>240</v>
      </c>
      <c r="G8" s="21">
        <f t="shared" si="1"/>
        <v>240</v>
      </c>
      <c r="H8" s="12">
        <f t="shared" si="1"/>
        <v>240</v>
      </c>
    </row>
    <row r="9" spans="1:11" outlineLevel="1" x14ac:dyDescent="0.35">
      <c r="A9" t="s">
        <v>12</v>
      </c>
      <c r="D9" s="12">
        <f>50+150</f>
        <v>200</v>
      </c>
      <c r="E9" s="12">
        <f t="shared" ref="E9:H9" si="2">50+150</f>
        <v>200</v>
      </c>
      <c r="F9" s="12">
        <f t="shared" si="2"/>
        <v>200</v>
      </c>
      <c r="G9" s="21">
        <f t="shared" si="2"/>
        <v>200</v>
      </c>
      <c r="H9" s="12">
        <f t="shared" si="2"/>
        <v>200</v>
      </c>
    </row>
    <row r="10" spans="1:11" outlineLevel="1" x14ac:dyDescent="0.35">
      <c r="A10" t="s">
        <v>13</v>
      </c>
      <c r="D10" s="12">
        <f>3*30</f>
        <v>90</v>
      </c>
      <c r="E10" s="12">
        <f t="shared" ref="E10:H10" si="3">3*30</f>
        <v>90</v>
      </c>
      <c r="F10" s="12">
        <f t="shared" si="3"/>
        <v>90</v>
      </c>
      <c r="G10" s="21">
        <f t="shared" si="3"/>
        <v>90</v>
      </c>
      <c r="H10" s="12">
        <f t="shared" si="3"/>
        <v>90</v>
      </c>
    </row>
    <row r="11" spans="1:11" outlineLevel="1" x14ac:dyDescent="0.35">
      <c r="A11" t="s">
        <v>26</v>
      </c>
      <c r="D11" s="12">
        <f>(2250+1200)/50</f>
        <v>69</v>
      </c>
      <c r="E11" s="12">
        <f>+D11*2</f>
        <v>138</v>
      </c>
      <c r="F11" s="12">
        <f>+D11*7</f>
        <v>483</v>
      </c>
      <c r="G11" s="21">
        <f>+D11*15</f>
        <v>1035</v>
      </c>
      <c r="H11" s="12">
        <f>+D11*25</f>
        <v>1725</v>
      </c>
      <c r="K11">
        <f>+D11*4</f>
        <v>276</v>
      </c>
    </row>
    <row r="12" spans="1:11" outlineLevel="1" x14ac:dyDescent="0.35">
      <c r="A12" t="s">
        <v>10</v>
      </c>
      <c r="D12" s="12">
        <f>20</f>
        <v>20</v>
      </c>
      <c r="E12" s="12">
        <f>20</f>
        <v>20</v>
      </c>
      <c r="G12" s="21">
        <f>+E12*7</f>
        <v>140</v>
      </c>
    </row>
    <row r="13" spans="1:11" outlineLevel="1" x14ac:dyDescent="0.35">
      <c r="A13" t="s">
        <v>20</v>
      </c>
      <c r="D13" s="12">
        <f>2100/50</f>
        <v>42</v>
      </c>
      <c r="E13" s="12">
        <f>+D13*1.5</f>
        <v>63</v>
      </c>
      <c r="G13" s="21">
        <f>+D13*15</f>
        <v>630</v>
      </c>
    </row>
    <row r="14" spans="1:11" outlineLevel="1" x14ac:dyDescent="0.35">
      <c r="A14" t="s">
        <v>14</v>
      </c>
      <c r="D14" s="12">
        <f>150*2</f>
        <v>300</v>
      </c>
      <c r="E14" s="12">
        <f>+D14*2</f>
        <v>600</v>
      </c>
      <c r="G14" s="21">
        <f>+D14*15</f>
        <v>4500</v>
      </c>
    </row>
    <row r="16" spans="1:11" x14ac:dyDescent="0.35">
      <c r="A16" s="3" t="s">
        <v>29</v>
      </c>
      <c r="B16" s="16"/>
      <c r="C16" s="16"/>
      <c r="D16" s="23">
        <f>SUM(D17:D23)</f>
        <v>588</v>
      </c>
      <c r="E16" s="23">
        <f>SUM(E17:E23)</f>
        <v>667</v>
      </c>
      <c r="F16" s="23">
        <f>SUM(F17:F23)</f>
        <v>0</v>
      </c>
      <c r="G16" s="24">
        <f>SUM(G17:G23)</f>
        <v>4560</v>
      </c>
    </row>
    <row r="17" spans="1:7" x14ac:dyDescent="0.35">
      <c r="A17" t="s">
        <v>16</v>
      </c>
      <c r="D17" s="12">
        <v>80</v>
      </c>
      <c r="E17" s="12">
        <v>80</v>
      </c>
      <c r="G17" s="21">
        <f>(2000+2000+4000)/50</f>
        <v>160</v>
      </c>
    </row>
    <row r="18" spans="1:7" x14ac:dyDescent="0.35">
      <c r="A18" t="s">
        <v>20</v>
      </c>
      <c r="D18" s="12">
        <f>(350*4)/50</f>
        <v>28</v>
      </c>
      <c r="E18" s="12">
        <f>+D18*1.5</f>
        <v>42</v>
      </c>
      <c r="G18" s="21">
        <f>+D18*15</f>
        <v>420</v>
      </c>
    </row>
    <row r="19" spans="1:7" x14ac:dyDescent="0.35">
      <c r="A19" t="s">
        <v>9</v>
      </c>
      <c r="D19" s="12">
        <f>150*2</f>
        <v>300</v>
      </c>
      <c r="E19" s="12">
        <f>150*2</f>
        <v>300</v>
      </c>
      <c r="G19" s="21">
        <f>(150*8)*2</f>
        <v>2400</v>
      </c>
    </row>
    <row r="20" spans="1:7" x14ac:dyDescent="0.35">
      <c r="A20" t="s">
        <v>18</v>
      </c>
      <c r="D20" s="12">
        <f>2*40</f>
        <v>80</v>
      </c>
      <c r="E20" s="12">
        <f>2*40</f>
        <v>80</v>
      </c>
      <c r="G20" s="21">
        <f>+D20</f>
        <v>80</v>
      </c>
    </row>
    <row r="21" spans="1:7" x14ac:dyDescent="0.35">
      <c r="A21" t="s">
        <v>17</v>
      </c>
      <c r="D21" s="12">
        <v>50</v>
      </c>
      <c r="E21" s="12">
        <f>+D21*2</f>
        <v>100</v>
      </c>
      <c r="G21" s="21">
        <f>+D21*15</f>
        <v>750</v>
      </c>
    </row>
    <row r="22" spans="1:7" x14ac:dyDescent="0.35">
      <c r="A22" t="s">
        <v>10</v>
      </c>
      <c r="D22" s="12">
        <v>20</v>
      </c>
      <c r="E22" s="12">
        <v>20</v>
      </c>
      <c r="G22" s="21">
        <f>+D22*15</f>
        <v>300</v>
      </c>
    </row>
    <row r="23" spans="1:7" x14ac:dyDescent="0.35">
      <c r="A23" t="s">
        <v>20</v>
      </c>
      <c r="D23" s="12">
        <v>30</v>
      </c>
      <c r="E23" s="12">
        <f>+D23*1.5</f>
        <v>45</v>
      </c>
      <c r="G23" s="21">
        <f>+D23*15</f>
        <v>450</v>
      </c>
    </row>
    <row r="25" spans="1:7" x14ac:dyDescent="0.35">
      <c r="A25" s="16" t="s">
        <v>30</v>
      </c>
      <c r="D25" s="23">
        <f>SUM(D26:D32)</f>
        <v>520</v>
      </c>
      <c r="E25" s="23">
        <f>SUM(E26:E32)</f>
        <v>565</v>
      </c>
      <c r="F25" s="23">
        <f>SUM(F26:F32)</f>
        <v>0</v>
      </c>
      <c r="G25" s="24">
        <f>SUM(G26:G32)</f>
        <v>3710</v>
      </c>
    </row>
    <row r="26" spans="1:7" x14ac:dyDescent="0.35">
      <c r="A26" t="s">
        <v>31</v>
      </c>
      <c r="D26" s="12">
        <f>100+20</f>
        <v>120</v>
      </c>
      <c r="E26" s="12">
        <f>100+20</f>
        <v>120</v>
      </c>
      <c r="G26" s="21">
        <f>((9000+2600+900+1800)/50)+4</f>
        <v>290</v>
      </c>
    </row>
    <row r="27" spans="1:7" x14ac:dyDescent="0.35">
      <c r="A27" t="s">
        <v>18</v>
      </c>
      <c r="D27" s="12">
        <v>20</v>
      </c>
      <c r="E27" s="12">
        <v>20</v>
      </c>
      <c r="G27" s="21">
        <f>+D27</f>
        <v>20</v>
      </c>
    </row>
    <row r="28" spans="1:7" x14ac:dyDescent="0.35">
      <c r="A28" t="s">
        <v>19</v>
      </c>
      <c r="D28" s="12">
        <v>250</v>
      </c>
      <c r="E28" s="12">
        <v>250</v>
      </c>
      <c r="G28" s="21">
        <f>250*8</f>
        <v>2000</v>
      </c>
    </row>
    <row r="29" spans="1:7" x14ac:dyDescent="0.35">
      <c r="A29" t="s">
        <v>17</v>
      </c>
      <c r="D29" s="12">
        <v>30</v>
      </c>
      <c r="E29" s="12">
        <f>30*2</f>
        <v>60</v>
      </c>
      <c r="G29" s="21">
        <f>+D29*15</f>
        <v>450</v>
      </c>
    </row>
    <row r="30" spans="1:7" x14ac:dyDescent="0.35">
      <c r="A30" t="s">
        <v>10</v>
      </c>
      <c r="D30" s="12">
        <v>20</v>
      </c>
      <c r="E30" s="12">
        <v>20</v>
      </c>
      <c r="G30" s="21">
        <f>+D30*15</f>
        <v>300</v>
      </c>
    </row>
    <row r="31" spans="1:7" x14ac:dyDescent="0.35">
      <c r="A31" t="s">
        <v>20</v>
      </c>
      <c r="D31" s="12">
        <v>30</v>
      </c>
      <c r="E31" s="12">
        <v>45</v>
      </c>
      <c r="G31" s="21">
        <f>+D31*15</f>
        <v>450</v>
      </c>
    </row>
    <row r="32" spans="1:7" x14ac:dyDescent="0.35">
      <c r="A32" t="s">
        <v>32</v>
      </c>
      <c r="D32" s="12">
        <v>50</v>
      </c>
      <c r="E32" s="12">
        <v>50</v>
      </c>
      <c r="G32" s="21">
        <v>200</v>
      </c>
    </row>
    <row r="35" spans="1:13" s="12" customFormat="1" x14ac:dyDescent="0.35">
      <c r="A35" s="6" t="s">
        <v>21</v>
      </c>
      <c r="B35"/>
      <c r="C35"/>
      <c r="D35" s="15">
        <f>+D3+D16+D25</f>
        <v>2724</v>
      </c>
      <c r="E35" s="15">
        <f>+E3+E16+E25</f>
        <v>3263</v>
      </c>
      <c r="F35" s="15">
        <f t="shared" ref="F35:G35" si="4">+F3+F16+F25</f>
        <v>1218</v>
      </c>
      <c r="G35" s="15">
        <f t="shared" si="4"/>
        <v>20546</v>
      </c>
      <c r="I35"/>
      <c r="J35"/>
      <c r="K35"/>
    </row>
    <row r="36" spans="1:13" s="12" customFormat="1" x14ac:dyDescent="0.35">
      <c r="A36" s="6" t="s">
        <v>23</v>
      </c>
      <c r="B36"/>
      <c r="C36"/>
      <c r="D36" s="15">
        <f>+D35*1.3</f>
        <v>3541.2000000000003</v>
      </c>
      <c r="E36" s="15">
        <f>+E35*1.5</f>
        <v>4894.5</v>
      </c>
      <c r="F36" s="15">
        <f t="shared" ref="F36:G36" si="5">+F35*1.3</f>
        <v>1583.4</v>
      </c>
      <c r="G36" s="15">
        <f t="shared" si="5"/>
        <v>26709.8</v>
      </c>
      <c r="I36"/>
      <c r="J36"/>
      <c r="K36"/>
    </row>
    <row r="37" spans="1:13" s="12" customFormat="1" x14ac:dyDescent="0.35">
      <c r="A37" s="1" t="s">
        <v>22</v>
      </c>
      <c r="B37"/>
      <c r="C37"/>
      <c r="D37" s="13">
        <f>(D36-D35)/D35</f>
        <v>0.3000000000000001</v>
      </c>
      <c r="E37" s="13">
        <f>(E36-E35)/E35</f>
        <v>0.5</v>
      </c>
      <c r="F37" s="13">
        <f t="shared" ref="F37:G37" si="6">(F36-F35)/F35</f>
        <v>0.3000000000000001</v>
      </c>
      <c r="G37" s="13">
        <f t="shared" si="6"/>
        <v>0.3</v>
      </c>
      <c r="I37"/>
      <c r="J37"/>
      <c r="K37"/>
    </row>
    <row r="38" spans="1:13" s="12" customFormat="1" ht="15" thickBot="1" x14ac:dyDescent="0.4">
      <c r="A38" s="7" t="s">
        <v>28</v>
      </c>
      <c r="B38"/>
      <c r="C38"/>
      <c r="D38" s="14">
        <f>+D36-D35</f>
        <v>817.20000000000027</v>
      </c>
      <c r="E38" s="14">
        <f>+E36-E35</f>
        <v>1631.5</v>
      </c>
      <c r="F38" s="14">
        <f t="shared" ref="F38:G38" si="7">+F36-F35</f>
        <v>365.40000000000009</v>
      </c>
      <c r="G38" s="14">
        <f t="shared" si="7"/>
        <v>6163.7999999999993</v>
      </c>
      <c r="I38"/>
      <c r="K38"/>
    </row>
    <row r="39" spans="1:13" s="12" customFormat="1" ht="15.5" thickTop="1" thickBot="1" x14ac:dyDescent="0.4">
      <c r="A39"/>
      <c r="B39"/>
      <c r="C39"/>
      <c r="G39" s="21"/>
      <c r="I39"/>
      <c r="K39"/>
    </row>
    <row r="40" spans="1:13" s="12" customFormat="1" ht="15" thickBot="1" x14ac:dyDescent="0.4">
      <c r="A40"/>
      <c r="B40"/>
      <c r="C40"/>
      <c r="E40" s="26" t="s">
        <v>39</v>
      </c>
      <c r="F40" s="27"/>
      <c r="G40" s="28"/>
      <c r="K40" s="26" t="s">
        <v>36</v>
      </c>
      <c r="L40" s="27"/>
      <c r="M40" s="28"/>
    </row>
    <row r="41" spans="1:13" ht="16" x14ac:dyDescent="0.5">
      <c r="E41" s="18" t="s">
        <v>33</v>
      </c>
      <c r="F41" s="22" t="s">
        <v>38</v>
      </c>
      <c r="G41" s="18" t="s">
        <v>28</v>
      </c>
      <c r="K41" s="18" t="s">
        <v>33</v>
      </c>
      <c r="L41" s="18" t="s">
        <v>34</v>
      </c>
      <c r="M41" s="18" t="s">
        <v>28</v>
      </c>
    </row>
    <row r="42" spans="1:13" s="12" customFormat="1" x14ac:dyDescent="0.35">
      <c r="B42"/>
      <c r="C42"/>
      <c r="D42" s="12" t="s">
        <v>2</v>
      </c>
      <c r="E42" s="12">
        <f>+D36</f>
        <v>3541.2000000000003</v>
      </c>
      <c r="F42" s="21">
        <f>+D35</f>
        <v>2724</v>
      </c>
      <c r="G42" s="12">
        <f>+E42-F42</f>
        <v>817.20000000000027</v>
      </c>
      <c r="K42" s="12">
        <f>+D36</f>
        <v>3541.2000000000003</v>
      </c>
      <c r="L42" s="12">
        <f>+D35</f>
        <v>2724</v>
      </c>
      <c r="M42" s="12">
        <f>+K42-L42</f>
        <v>817.20000000000027</v>
      </c>
    </row>
    <row r="43" spans="1:13" s="12" customFormat="1" x14ac:dyDescent="0.35">
      <c r="B43"/>
      <c r="C43"/>
      <c r="D43" s="12" t="s">
        <v>35</v>
      </c>
      <c r="E43" s="12">
        <f>+E36</f>
        <v>4894.5</v>
      </c>
      <c r="F43" s="21">
        <f>+E35</f>
        <v>3263</v>
      </c>
      <c r="G43" s="12">
        <f>+E43-F43</f>
        <v>1631.5</v>
      </c>
      <c r="J43" s="12">
        <f>+K43/K42</f>
        <v>0.69107929515418498</v>
      </c>
      <c r="K43" s="12">
        <f>+E36/2</f>
        <v>2447.25</v>
      </c>
      <c r="L43" s="12">
        <f>+E35/2</f>
        <v>1631.5</v>
      </c>
      <c r="M43" s="12">
        <f>+K43-L43</f>
        <v>815.75</v>
      </c>
    </row>
    <row r="44" spans="1:13" s="12" customFormat="1" x14ac:dyDescent="0.35">
      <c r="B44"/>
      <c r="C44"/>
      <c r="D44" s="12" t="s">
        <v>37</v>
      </c>
      <c r="E44" s="12">
        <f>(((E36/2)*3)*0.8)</f>
        <v>5873.4000000000005</v>
      </c>
      <c r="F44" s="21">
        <f>(E35/2)*3</f>
        <v>4894.5</v>
      </c>
      <c r="G44" s="12">
        <f>+E44-F44</f>
        <v>978.90000000000055</v>
      </c>
      <c r="K44" s="12">
        <f>(E36/2)*0.8</f>
        <v>1957.8000000000002</v>
      </c>
      <c r="L44" s="12">
        <f>+E35/2</f>
        <v>1631.5</v>
      </c>
      <c r="M44" s="12">
        <f>+K44-L44</f>
        <v>326.30000000000018</v>
      </c>
    </row>
    <row r="45" spans="1:13" s="12" customFormat="1" x14ac:dyDescent="0.35">
      <c r="A45"/>
      <c r="B45"/>
      <c r="C45"/>
      <c r="D45" s="12" t="s">
        <v>5</v>
      </c>
      <c r="E45" s="12">
        <f>(((E36/2)*15)*0.7)</f>
        <v>25696.125</v>
      </c>
      <c r="F45" s="21">
        <f>+G35</f>
        <v>20546</v>
      </c>
      <c r="G45" s="12">
        <f>+E45-F45</f>
        <v>5150.125</v>
      </c>
      <c r="K45" s="12">
        <f>(E36/2)*0.7</f>
        <v>1713.0749999999998</v>
      </c>
      <c r="L45" s="12">
        <f>+G35/15</f>
        <v>1369.7333333333333</v>
      </c>
      <c r="M45" s="12">
        <f>+K45-L45</f>
        <v>343.34166666666647</v>
      </c>
    </row>
    <row r="47" spans="1:13" x14ac:dyDescent="0.35">
      <c r="K47" s="12">
        <f>+K43*4</f>
        <v>9789</v>
      </c>
    </row>
    <row r="48" spans="1:13" x14ac:dyDescent="0.35">
      <c r="K48" s="12">
        <f>+K47*0.9</f>
        <v>8810.1</v>
      </c>
    </row>
    <row r="49" spans="11:11" x14ac:dyDescent="0.35">
      <c r="K49" s="12">
        <f>+K48/4</f>
        <v>2202.5250000000001</v>
      </c>
    </row>
  </sheetData>
  <mergeCells count="2">
    <mergeCell ref="E40:G40"/>
    <mergeCell ref="K40:M40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ED9C-A952-4DDC-A0DF-3229769377D4}">
  <dimension ref="A1:M35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L1048576"/>
    </sheetView>
  </sheetViews>
  <sheetFormatPr defaultRowHeight="14.5" outlineLevelRow="1" outlineLevelCol="1" x14ac:dyDescent="0.35"/>
  <cols>
    <col min="1" max="1" width="35.81640625" bestFit="1" customWidth="1"/>
    <col min="2" max="2" width="4.453125" customWidth="1"/>
    <col min="3" max="3" width="6.36328125" bestFit="1" customWidth="1"/>
    <col min="4" max="5" width="9.6328125" style="12" bestFit="1" customWidth="1"/>
    <col min="6" max="8" width="9.36328125" style="12" hidden="1" customWidth="1" outlineLevel="1"/>
    <col min="9" max="9" width="0" hidden="1" customWidth="1" outlineLevel="1"/>
    <col min="10" max="10" width="8" hidden="1" customWidth="1" outlineLevel="1"/>
    <col min="11" max="12" width="0" hidden="1" customWidth="1" outlineLevel="1"/>
    <col min="13" max="13" width="8.7265625" collapsed="1"/>
  </cols>
  <sheetData>
    <row r="1" spans="1:11" ht="29" x14ac:dyDescent="0.35">
      <c r="A1" s="4" t="s">
        <v>0</v>
      </c>
      <c r="B1" s="4" t="s">
        <v>1</v>
      </c>
      <c r="C1" s="5" t="s">
        <v>11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J1" s="9" t="s">
        <v>27</v>
      </c>
    </row>
    <row r="2" spans="1:11" x14ac:dyDescent="0.35">
      <c r="A2" s="1"/>
      <c r="B2" s="1"/>
      <c r="C2" s="2"/>
      <c r="D2" s="10"/>
      <c r="E2" s="11"/>
      <c r="F2" s="11"/>
      <c r="G2" s="11"/>
      <c r="H2" s="11"/>
    </row>
    <row r="3" spans="1:11" ht="15.5" customHeight="1" x14ac:dyDescent="0.5">
      <c r="A3" s="3" t="s">
        <v>25</v>
      </c>
      <c r="B3" s="1"/>
      <c r="C3" s="2"/>
      <c r="D3" s="17">
        <f>SUM(D4:D14)</f>
        <v>1616</v>
      </c>
      <c r="E3" s="17">
        <f>SUM(E4:E14)</f>
        <v>2031</v>
      </c>
      <c r="F3" s="11"/>
      <c r="G3" s="11"/>
      <c r="H3" s="11"/>
    </row>
    <row r="4" spans="1:11" outlineLevel="1" x14ac:dyDescent="0.35">
      <c r="A4" t="s">
        <v>7</v>
      </c>
      <c r="D4" s="12">
        <f>(10*3)</f>
        <v>30</v>
      </c>
      <c r="E4" s="12">
        <f>(10*3)</f>
        <v>30</v>
      </c>
      <c r="F4" s="12">
        <f t="shared" ref="F4:H4" si="0">(10*3)</f>
        <v>30</v>
      </c>
      <c r="G4" s="12">
        <f t="shared" si="0"/>
        <v>30</v>
      </c>
      <c r="H4" s="12">
        <f t="shared" si="0"/>
        <v>30</v>
      </c>
    </row>
    <row r="5" spans="1:11" outlineLevel="1" x14ac:dyDescent="0.35">
      <c r="A5" t="s">
        <v>8</v>
      </c>
      <c r="D5" s="12">
        <v>25</v>
      </c>
      <c r="E5" s="12">
        <f>+D5*2</f>
        <v>50</v>
      </c>
      <c r="F5" s="12">
        <f>+D5*7</f>
        <v>175</v>
      </c>
      <c r="G5" s="12">
        <f>+D5*15</f>
        <v>375</v>
      </c>
      <c r="H5" s="12">
        <f>+D5*16</f>
        <v>400</v>
      </c>
    </row>
    <row r="6" spans="1:11" outlineLevel="1" x14ac:dyDescent="0.35">
      <c r="A6" t="s">
        <v>24</v>
      </c>
      <c r="D6" s="12">
        <f>30*4</f>
        <v>120</v>
      </c>
      <c r="E6" s="12">
        <f>30*4</f>
        <v>120</v>
      </c>
    </row>
    <row r="7" spans="1:11" outlineLevel="1" x14ac:dyDescent="0.35">
      <c r="A7" t="s">
        <v>19</v>
      </c>
      <c r="D7" s="12">
        <f>200*3</f>
        <v>600</v>
      </c>
      <c r="E7" s="12">
        <f>200*3</f>
        <v>600</v>
      </c>
    </row>
    <row r="8" spans="1:11" outlineLevel="1" x14ac:dyDescent="0.35">
      <c r="A8" t="s">
        <v>18</v>
      </c>
      <c r="D8" s="12">
        <f>3*40</f>
        <v>120</v>
      </c>
      <c r="E8" s="12">
        <f>3*40</f>
        <v>120</v>
      </c>
      <c r="F8" s="12">
        <f t="shared" ref="F8:H8" si="1">6*40</f>
        <v>240</v>
      </c>
      <c r="G8" s="12">
        <f t="shared" si="1"/>
        <v>240</v>
      </c>
      <c r="H8" s="12">
        <f t="shared" si="1"/>
        <v>240</v>
      </c>
    </row>
    <row r="9" spans="1:11" outlineLevel="1" x14ac:dyDescent="0.35">
      <c r="A9" t="s">
        <v>12</v>
      </c>
      <c r="D9" s="12">
        <f>50+150</f>
        <v>200</v>
      </c>
      <c r="E9" s="12">
        <f t="shared" ref="E9:H9" si="2">50+150</f>
        <v>200</v>
      </c>
      <c r="F9" s="12">
        <f t="shared" si="2"/>
        <v>200</v>
      </c>
      <c r="G9" s="12">
        <f t="shared" si="2"/>
        <v>200</v>
      </c>
      <c r="H9" s="12">
        <f t="shared" si="2"/>
        <v>200</v>
      </c>
    </row>
    <row r="10" spans="1:11" outlineLevel="1" x14ac:dyDescent="0.35">
      <c r="A10" t="s">
        <v>13</v>
      </c>
      <c r="D10" s="12">
        <f>3*30</f>
        <v>90</v>
      </c>
      <c r="E10" s="12">
        <f t="shared" ref="E10:H10" si="3">3*30</f>
        <v>90</v>
      </c>
      <c r="F10" s="12">
        <f t="shared" si="3"/>
        <v>90</v>
      </c>
      <c r="G10" s="12">
        <f t="shared" si="3"/>
        <v>90</v>
      </c>
      <c r="H10" s="12">
        <f t="shared" si="3"/>
        <v>90</v>
      </c>
    </row>
    <row r="11" spans="1:11" outlineLevel="1" x14ac:dyDescent="0.35">
      <c r="A11" t="s">
        <v>26</v>
      </c>
      <c r="D11" s="12">
        <f>(2250+1200)/50</f>
        <v>69</v>
      </c>
      <c r="E11" s="12">
        <f>+D11*2</f>
        <v>138</v>
      </c>
      <c r="F11" s="12">
        <f>+D11*7</f>
        <v>483</v>
      </c>
      <c r="G11" s="12">
        <f>+D11*15</f>
        <v>1035</v>
      </c>
      <c r="H11" s="12">
        <f>+D11*25</f>
        <v>1725</v>
      </c>
      <c r="K11">
        <f>+D11*4</f>
        <v>276</v>
      </c>
    </row>
    <row r="12" spans="1:11" outlineLevel="1" x14ac:dyDescent="0.35">
      <c r="A12" t="s">
        <v>10</v>
      </c>
      <c r="D12" s="12">
        <f>20</f>
        <v>20</v>
      </c>
      <c r="E12" s="12">
        <f>20</f>
        <v>20</v>
      </c>
    </row>
    <row r="13" spans="1:11" outlineLevel="1" x14ac:dyDescent="0.35">
      <c r="A13" t="s">
        <v>20</v>
      </c>
      <c r="D13" s="12">
        <f>2100/50</f>
        <v>42</v>
      </c>
      <c r="E13" s="12">
        <f>+D13*1.5</f>
        <v>63</v>
      </c>
    </row>
    <row r="14" spans="1:11" outlineLevel="1" x14ac:dyDescent="0.35">
      <c r="A14" t="s">
        <v>14</v>
      </c>
      <c r="D14" s="12">
        <f>150*2</f>
        <v>300</v>
      </c>
      <c r="E14" s="12">
        <f>+D14*2</f>
        <v>600</v>
      </c>
    </row>
    <row r="16" spans="1:11" ht="16" x14ac:dyDescent="0.5">
      <c r="A16" s="3" t="s">
        <v>15</v>
      </c>
      <c r="D16" s="17">
        <f>SUM(D17:D23)</f>
        <v>588</v>
      </c>
      <c r="E16" s="17">
        <f>SUM(E17:E23)</f>
        <v>667</v>
      </c>
    </row>
    <row r="17" spans="1:6" x14ac:dyDescent="0.35">
      <c r="A17" t="s">
        <v>16</v>
      </c>
      <c r="D17" s="12">
        <v>80</v>
      </c>
      <c r="E17" s="12">
        <v>80</v>
      </c>
    </row>
    <row r="18" spans="1:6" x14ac:dyDescent="0.35">
      <c r="A18" t="s">
        <v>20</v>
      </c>
      <c r="D18" s="12">
        <f>(350*4)/50</f>
        <v>28</v>
      </c>
      <c r="E18" s="12">
        <f>+D18*1.5</f>
        <v>42</v>
      </c>
    </row>
    <row r="19" spans="1:6" x14ac:dyDescent="0.35">
      <c r="A19" t="s">
        <v>9</v>
      </c>
      <c r="D19" s="12">
        <f>150*2</f>
        <v>300</v>
      </c>
      <c r="E19" s="12">
        <f>150*2</f>
        <v>300</v>
      </c>
    </row>
    <row r="20" spans="1:6" x14ac:dyDescent="0.35">
      <c r="A20" t="s">
        <v>18</v>
      </c>
      <c r="D20" s="12">
        <f>2*40</f>
        <v>80</v>
      </c>
      <c r="E20" s="12">
        <f>2*40</f>
        <v>80</v>
      </c>
    </row>
    <row r="21" spans="1:6" x14ac:dyDescent="0.35">
      <c r="A21" t="s">
        <v>17</v>
      </c>
      <c r="D21" s="12">
        <v>50</v>
      </c>
      <c r="E21" s="12">
        <f>+D21*2</f>
        <v>100</v>
      </c>
    </row>
    <row r="22" spans="1:6" x14ac:dyDescent="0.35">
      <c r="A22" t="s">
        <v>10</v>
      </c>
      <c r="D22" s="12">
        <v>20</v>
      </c>
      <c r="E22" s="12">
        <v>20</v>
      </c>
    </row>
    <row r="23" spans="1:6" x14ac:dyDescent="0.35">
      <c r="A23" t="s">
        <v>20</v>
      </c>
      <c r="D23" s="12">
        <v>30</v>
      </c>
      <c r="E23" s="12">
        <f>+D23*1.5</f>
        <v>45</v>
      </c>
    </row>
    <row r="26" spans="1:6" x14ac:dyDescent="0.35">
      <c r="A26" s="6" t="s">
        <v>21</v>
      </c>
      <c r="D26" s="15">
        <f>+D16+D3</f>
        <v>2204</v>
      </c>
      <c r="E26" s="15">
        <f>+E16+E3</f>
        <v>2698</v>
      </c>
      <c r="F26" s="12">
        <f>+E26/2</f>
        <v>1349</v>
      </c>
    </row>
    <row r="27" spans="1:6" x14ac:dyDescent="0.35">
      <c r="A27" s="6" t="s">
        <v>23</v>
      </c>
      <c r="D27" s="15">
        <f>+D26*1.5</f>
        <v>3306</v>
      </c>
      <c r="E27" s="15">
        <f>+E26*1.5</f>
        <v>4047</v>
      </c>
      <c r="F27" s="12">
        <f>+E27/2</f>
        <v>2023.5</v>
      </c>
    </row>
    <row r="28" spans="1:6" x14ac:dyDescent="0.35">
      <c r="A28" s="1" t="s">
        <v>22</v>
      </c>
      <c r="D28" s="13">
        <f>(D27-D26)/D26</f>
        <v>0.5</v>
      </c>
      <c r="E28" s="13">
        <f>(E27-E26)/E26</f>
        <v>0.5</v>
      </c>
    </row>
    <row r="29" spans="1:6" ht="15" thickBot="1" x14ac:dyDescent="0.4">
      <c r="A29" s="7" t="s">
        <v>28</v>
      </c>
      <c r="B29" s="7"/>
      <c r="C29" s="7"/>
      <c r="D29" s="14">
        <f>+D27-D26</f>
        <v>1102</v>
      </c>
      <c r="E29" s="14">
        <f>+E27-E26</f>
        <v>1349</v>
      </c>
    </row>
    <row r="30" spans="1:6" ht="15" thickTop="1" x14ac:dyDescent="0.35"/>
    <row r="32" spans="1:6" x14ac:dyDescent="0.35">
      <c r="D32" s="12">
        <f>+D27*2</f>
        <v>6612</v>
      </c>
    </row>
    <row r="33" spans="4:4" x14ac:dyDescent="0.35">
      <c r="D33" s="12">
        <f>+F27</f>
        <v>2023.5</v>
      </c>
    </row>
    <row r="34" spans="4:4" x14ac:dyDescent="0.35">
      <c r="D34" s="12">
        <f>+D32-D33</f>
        <v>4588.5</v>
      </c>
    </row>
    <row r="35" spans="4:4" x14ac:dyDescent="0.35">
      <c r="D35" s="12">
        <f>+D34/D32</f>
        <v>0.69396551724137934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2D04-9C14-4A20-A869-D1FFACCC8CEE}">
  <dimension ref="A1"/>
  <sheetViews>
    <sheetView workbookViewId="0">
      <selection activeCell="Q30" sqref="Q3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Cairo + Cruise &gt;&gt;&gt;</vt:lpstr>
      <vt:lpstr>11days,10 nights- Cairo &amp; Cuise</vt:lpstr>
      <vt:lpstr>8 days, 7 nights- Cairo &amp; Cruis</vt:lpstr>
      <vt:lpstr>7 days, 6 nights- Cairo &amp; Cruis</vt:lpstr>
      <vt:lpstr>By Land &gt;&gt;&gt;&gt;&gt;&gt;</vt:lpstr>
      <vt:lpstr>7 days, 6 nights- Land Per DBL</vt:lpstr>
      <vt:lpstr>6 days, 5 nights - Land Per DBL</vt:lpstr>
      <vt:lpstr>7 days, 6 nights By Land</vt:lpstr>
      <vt:lpstr>6 days, 5 nights By Land</vt:lpstr>
      <vt:lpstr>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Radmila Yusufova</dc:creator>
  <cp:lastModifiedBy>Radmila Yusufova</cp:lastModifiedBy>
  <dcterms:created xsi:type="dcterms:W3CDTF">2026-05-27T00:41:12Z</dcterms:created>
  <dcterms:modified xsi:type="dcterms:W3CDTF">2026-06-01T01:57:52Z</dcterms:modified>
</cp:coreProperties>
</file>